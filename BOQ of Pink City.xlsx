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.Sc\B.Sc. Project\Etabs Project\"/>
    </mc:Choice>
  </mc:AlternateContent>
  <xr:revisionPtr revIDLastSave="0" documentId="13_ncr:1_{75E086EB-9D4F-4FA5-A5E6-7BA6ED4645EC}" xr6:coauthVersionLast="43" xr6:coauthVersionMax="43" xr10:uidLastSave="{00000000-0000-0000-0000-000000000000}"/>
  <bookViews>
    <workbookView xWindow="-108" yWindow="-108" windowWidth="23256" windowHeight="12576" xr2:uid="{7E1C1315-34D6-4968-902A-4CBE546B8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96" i="1" l="1"/>
  <c r="I72" i="1" l="1"/>
  <c r="I184" i="1"/>
  <c r="I183" i="1"/>
  <c r="I182" i="1"/>
  <c r="I181" i="1"/>
  <c r="I180" i="1"/>
  <c r="I179" i="1"/>
  <c r="I178" i="1"/>
  <c r="I176" i="1"/>
  <c r="I175" i="1"/>
  <c r="I174" i="1"/>
  <c r="I170" i="1"/>
  <c r="I169" i="1"/>
  <c r="I164" i="1"/>
  <c r="I163" i="1"/>
  <c r="I162" i="1"/>
  <c r="I161" i="1"/>
  <c r="I160" i="1"/>
  <c r="I159" i="1"/>
  <c r="I154" i="1"/>
  <c r="I153" i="1"/>
  <c r="I152" i="1"/>
  <c r="I151" i="1"/>
  <c r="I150" i="1"/>
  <c r="I146" i="1"/>
  <c r="I145" i="1"/>
  <c r="I144" i="1"/>
  <c r="I143" i="1"/>
  <c r="I142" i="1"/>
  <c r="I138" i="1"/>
  <c r="I137" i="1"/>
  <c r="I136" i="1"/>
  <c r="I135" i="1"/>
  <c r="I134" i="1"/>
  <c r="I131" i="1"/>
  <c r="I130" i="1"/>
  <c r="I120" i="1"/>
  <c r="I119" i="1"/>
  <c r="I118" i="1"/>
  <c r="I117" i="1"/>
  <c r="I116" i="1"/>
  <c r="I115" i="1"/>
  <c r="I114" i="1"/>
  <c r="I111" i="1"/>
  <c r="I110" i="1"/>
  <c r="I109" i="1"/>
  <c r="I105" i="1"/>
  <c r="I104" i="1"/>
  <c r="I99" i="1"/>
  <c r="I98" i="1"/>
  <c r="I97" i="1"/>
  <c r="I96" i="1"/>
  <c r="I95" i="1"/>
  <c r="I94" i="1"/>
  <c r="I90" i="1"/>
  <c r="I89" i="1"/>
  <c r="I88" i="1"/>
  <c r="I87" i="1"/>
  <c r="I86" i="1"/>
  <c r="I82" i="1"/>
  <c r="I81" i="1"/>
  <c r="I80" i="1"/>
  <c r="I79" i="1"/>
  <c r="I78" i="1"/>
  <c r="I74" i="1"/>
  <c r="I73" i="1"/>
  <c r="I71" i="1"/>
  <c r="I70" i="1"/>
  <c r="I67" i="1"/>
  <c r="I66" i="1"/>
  <c r="I57" i="1"/>
  <c r="I56" i="1"/>
  <c r="I55" i="1"/>
  <c r="I54" i="1"/>
  <c r="I53" i="1"/>
  <c r="I52" i="1"/>
  <c r="I45" i="1"/>
  <c r="I44" i="1"/>
  <c r="I43" i="1"/>
  <c r="I37" i="1"/>
  <c r="I36" i="1"/>
  <c r="I35" i="1"/>
  <c r="I34" i="1"/>
  <c r="I33" i="1"/>
  <c r="I29" i="1"/>
  <c r="I28" i="1"/>
  <c r="F21" i="1"/>
  <c r="I46" i="1" l="1"/>
  <c r="I100" i="1"/>
  <c r="I177" i="1"/>
  <c r="I83" i="1"/>
  <c r="I75" i="1"/>
  <c r="I139" i="1"/>
  <c r="I155" i="1"/>
  <c r="I165" i="1"/>
  <c r="I91" i="1"/>
  <c r="I147" i="1"/>
  <c r="I58" i="1"/>
  <c r="I38" i="1"/>
  <c r="I106" i="1"/>
  <c r="I112" i="1"/>
  <c r="I171" i="1"/>
  <c r="I60" i="1" l="1"/>
  <c r="I194" i="1" s="1"/>
  <c r="I188" i="1"/>
  <c r="F196" i="1" s="1"/>
  <c r="I124" i="1"/>
  <c r="I195" i="1" s="1"/>
  <c r="I198" i="1" l="1"/>
  <c r="I199" i="1" s="1"/>
  <c r="I200" i="1" s="1"/>
</calcChain>
</file>

<file path=xl/sharedStrings.xml><?xml version="1.0" encoding="utf-8"?>
<sst xmlns="http://schemas.openxmlformats.org/spreadsheetml/2006/main" count="356" uniqueCount="99">
  <si>
    <t>Floor Area:-</t>
  </si>
  <si>
    <t>Sft</t>
  </si>
  <si>
    <t>Ground Floor=</t>
  </si>
  <si>
    <t>1st Floor=</t>
  </si>
  <si>
    <t>2nd Floor=</t>
  </si>
  <si>
    <t>3rd Floor=</t>
  </si>
  <si>
    <t>4th Floor=</t>
  </si>
  <si>
    <t>5th Floor=</t>
  </si>
  <si>
    <t>6th Floor=</t>
  </si>
  <si>
    <t>7th Floor=</t>
  </si>
  <si>
    <t>8th Floor=</t>
  </si>
  <si>
    <t>9th Floor=</t>
  </si>
  <si>
    <t>Total=</t>
  </si>
  <si>
    <t xml:space="preserve"> Gross Total</t>
  </si>
  <si>
    <t>5%  Over Head Cost</t>
  </si>
  <si>
    <t xml:space="preserve"> Net Total</t>
  </si>
  <si>
    <t>Lift, Generator&amp; substation</t>
  </si>
  <si>
    <t xml:space="preserve">1st to 9th floor </t>
  </si>
  <si>
    <t>Ground Flooor</t>
  </si>
  <si>
    <t xml:space="preserve">Foundation </t>
  </si>
  <si>
    <t>Amount TK.</t>
  </si>
  <si>
    <t>Description</t>
  </si>
  <si>
    <t>SL</t>
  </si>
  <si>
    <t>Total Cost For Project:-</t>
  </si>
  <si>
    <t>1st to 9th  Floor Total</t>
  </si>
  <si>
    <t>Labour Cost</t>
  </si>
  <si>
    <t>Sanitary</t>
  </si>
  <si>
    <t>Electrical Work</t>
  </si>
  <si>
    <t>Paint(Outside Snowcem)</t>
  </si>
  <si>
    <t>Paint(Inside Plastic Paint)</t>
  </si>
  <si>
    <t>Thai Alumimum</t>
  </si>
  <si>
    <t>Nos</t>
  </si>
  <si>
    <t>P.V.C. Door</t>
  </si>
  <si>
    <t>Cft</t>
  </si>
  <si>
    <t>Wood Sutter</t>
  </si>
  <si>
    <t>Wood Chowceket</t>
  </si>
  <si>
    <t>Grill</t>
  </si>
  <si>
    <t>Total</t>
  </si>
  <si>
    <t>No</t>
  </si>
  <si>
    <t>Brick</t>
  </si>
  <si>
    <t>c</t>
  </si>
  <si>
    <t>Sand (Local)</t>
  </si>
  <si>
    <t>b</t>
  </si>
  <si>
    <t>bag</t>
  </si>
  <si>
    <t>Cement</t>
  </si>
  <si>
    <t>a</t>
  </si>
  <si>
    <t>Mortar, Ratio,1:4</t>
  </si>
  <si>
    <t>5" Brick Wall</t>
  </si>
  <si>
    <t>1/2" Thick, Ratio,1:4</t>
  </si>
  <si>
    <t>Column, Beam, Celing, Wall</t>
  </si>
  <si>
    <t>Plastering Work</t>
  </si>
  <si>
    <t>Rft</t>
  </si>
  <si>
    <t>Railing</t>
  </si>
  <si>
    <t>g</t>
  </si>
  <si>
    <t>Kg</t>
  </si>
  <si>
    <t>f</t>
  </si>
  <si>
    <t>12mm Rod</t>
  </si>
  <si>
    <t>e</t>
  </si>
  <si>
    <t>Brick Chips</t>
  </si>
  <si>
    <t>d</t>
  </si>
  <si>
    <t>Sand (Sylhet)</t>
  </si>
  <si>
    <t>Brick Chips,Casting1:2:4)</t>
  </si>
  <si>
    <t>Stair</t>
  </si>
  <si>
    <t>Slab</t>
  </si>
  <si>
    <t>20mm Rod</t>
  </si>
  <si>
    <t xml:space="preserve">Brick chips </t>
  </si>
  <si>
    <t>Beam</t>
  </si>
  <si>
    <t>Stone  Chips</t>
  </si>
  <si>
    <t>Stone Casting1:1.5:3)</t>
  </si>
  <si>
    <t>Column up to 1st Floor</t>
  </si>
  <si>
    <t>Wall Tiles</t>
  </si>
  <si>
    <t>Floor Tiles</t>
  </si>
  <si>
    <t>Amount. TK</t>
  </si>
  <si>
    <t>Unit</t>
  </si>
  <si>
    <t>Rate</t>
  </si>
  <si>
    <t>Quantity</t>
  </si>
  <si>
    <t>Sl.No.</t>
  </si>
  <si>
    <t>1st to 9th Floor Work:-</t>
  </si>
  <si>
    <t>Ground Floor Work Total</t>
  </si>
  <si>
    <t>Ground Floor Work:-</t>
  </si>
  <si>
    <t>Foundation Total</t>
  </si>
  <si>
    <t>Brick for Soling&amp; outer wall</t>
  </si>
  <si>
    <t>Stone Chips</t>
  </si>
  <si>
    <t>Casting,1:2:4</t>
  </si>
  <si>
    <t xml:space="preserve"> Slab- Brick Chips </t>
  </si>
  <si>
    <t>Stone Casting, 1:1.5:3</t>
  </si>
  <si>
    <t xml:space="preserve"> Reservoir, Base &amp; Rcc Wall</t>
  </si>
  <si>
    <t>Under Ground Water</t>
  </si>
  <si>
    <t xml:space="preserve">Casting, 1:2:4(Brick Chip) </t>
  </si>
  <si>
    <t xml:space="preserve">RCC Base &amp; Slab </t>
  </si>
  <si>
    <t>Septic Tank</t>
  </si>
  <si>
    <t>Casting1:1.5:3), 10"</t>
  </si>
  <si>
    <t xml:space="preserve">Basement Bottom slab (Stone </t>
  </si>
  <si>
    <t>Earth &amp; Sand Filling</t>
  </si>
  <si>
    <t xml:space="preserve">Earth Cutting </t>
  </si>
  <si>
    <t xml:space="preserve"> Foundation Work:-</t>
  </si>
  <si>
    <t>Rebar</t>
  </si>
  <si>
    <t xml:space="preserve">10" Brick wall </t>
  </si>
  <si>
    <t>The Estimate &amp; BOQ of Proposed 10-Storied Residential Building with Basement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</si>
</sst>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2"/>
      <color rgb="FFFF0000"/>
      <name val="Agency FB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2060"/>
      <name val="Arial"/>
      <family val="2"/>
    </font>
    <font>
      <b/>
      <sz val="12"/>
      <color indexed="10"/>
      <name val="Arial"/>
      <family val="2"/>
    </font>
    <font>
      <b/>
      <sz val="12"/>
      <color rgb="FFFF0000"/>
      <name val="Arial"/>
      <family val="2"/>
    </font>
    <font>
      <b/>
      <sz val="22"/>
      <color rgb="FF7030A0"/>
      <name val="Agency FB"/>
      <family val="2"/>
    </font>
    <font>
      <b/>
      <u/>
      <sz val="22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0" xfId="0" applyAlignment="1"/>
    <xf numFmtId="0" fontId="4" fillId="0" borderId="6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Border="1"/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0336-2C5A-4C31-AF93-4C7201D2C13E}">
  <dimension ref="B3:M200"/>
  <sheetViews>
    <sheetView tabSelected="1" topLeftCell="B184" zoomScaleNormal="100" workbookViewId="0">
      <selection activeCell="L1" sqref="L1"/>
    </sheetView>
  </sheetViews>
  <sheetFormatPr defaultRowHeight="14.4" x14ac:dyDescent="0.3"/>
  <cols>
    <col min="2" max="3" width="7.44140625" customWidth="1"/>
    <col min="4" max="4" width="8.109375" customWidth="1"/>
    <col min="5" max="5" width="35.109375" customWidth="1"/>
    <col min="6" max="6" width="13.44140625" customWidth="1"/>
    <col min="7" max="7" width="12" customWidth="1"/>
    <col min="8" max="8" width="10.33203125" customWidth="1"/>
    <col min="9" max="9" width="16.44140625" customWidth="1"/>
  </cols>
  <sheetData>
    <row r="3" spans="4:13" ht="14.4" customHeight="1" x14ac:dyDescent="0.3"/>
    <row r="4" spans="4:13" ht="14.4" customHeight="1" x14ac:dyDescent="0.3"/>
    <row r="5" spans="4:13" ht="14.4" customHeight="1" x14ac:dyDescent="0.3">
      <c r="E5" s="49" t="s">
        <v>98</v>
      </c>
      <c r="F5" s="49"/>
      <c r="G5" s="49"/>
    </row>
    <row r="6" spans="4:13" ht="14.4" customHeight="1" x14ac:dyDescent="0.3">
      <c r="E6" s="49"/>
      <c r="F6" s="49"/>
      <c r="G6" s="49"/>
    </row>
    <row r="7" spans="4:13" ht="13.8" customHeight="1" x14ac:dyDescent="0.3">
      <c r="E7" s="49"/>
      <c r="F7" s="49"/>
      <c r="G7" s="49"/>
      <c r="H7" s="26"/>
      <c r="I7" s="20"/>
      <c r="J7" s="20"/>
      <c r="K7" s="20"/>
      <c r="L7" s="20"/>
      <c r="M7" s="20"/>
    </row>
    <row r="8" spans="4:13" ht="14.4" customHeight="1" x14ac:dyDescent="0.3">
      <c r="D8" s="20"/>
      <c r="E8" s="49"/>
      <c r="F8" s="49"/>
      <c r="G8" s="49"/>
      <c r="H8" s="20"/>
      <c r="I8" s="20"/>
      <c r="J8" s="20"/>
      <c r="K8" s="20"/>
      <c r="L8" s="20"/>
      <c r="M8" s="20"/>
    </row>
    <row r="9" spans="4:13" ht="14.4" customHeight="1" x14ac:dyDescent="0.3">
      <c r="D9" s="21"/>
      <c r="E9" s="21"/>
      <c r="F9" s="21"/>
      <c r="G9" s="21"/>
      <c r="H9" s="21"/>
      <c r="I9" s="21"/>
      <c r="J9" s="21"/>
      <c r="K9" s="20"/>
      <c r="L9" s="20"/>
      <c r="M9" s="20"/>
    </row>
    <row r="10" spans="4:13" ht="15.6" x14ac:dyDescent="0.3">
      <c r="E10" s="4" t="s">
        <v>0</v>
      </c>
      <c r="F10" s="2"/>
      <c r="G10" s="2"/>
    </row>
    <row r="11" spans="4:13" ht="15" x14ac:dyDescent="0.3">
      <c r="E11" s="2" t="s">
        <v>2</v>
      </c>
      <c r="F11" s="3">
        <v>7000</v>
      </c>
      <c r="G11" s="2" t="s">
        <v>1</v>
      </c>
    </row>
    <row r="12" spans="4:13" ht="15" x14ac:dyDescent="0.3">
      <c r="E12" s="2" t="s">
        <v>3</v>
      </c>
      <c r="F12" s="3">
        <v>7000</v>
      </c>
      <c r="G12" s="2" t="s">
        <v>1</v>
      </c>
    </row>
    <row r="13" spans="4:13" ht="15" x14ac:dyDescent="0.3">
      <c r="E13" s="2" t="s">
        <v>4</v>
      </c>
      <c r="F13" s="3">
        <v>7000</v>
      </c>
      <c r="G13" s="2" t="s">
        <v>1</v>
      </c>
    </row>
    <row r="14" spans="4:13" ht="15" x14ac:dyDescent="0.3">
      <c r="E14" s="2" t="s">
        <v>5</v>
      </c>
      <c r="F14" s="3">
        <v>7000</v>
      </c>
      <c r="G14" s="2" t="s">
        <v>1</v>
      </c>
    </row>
    <row r="15" spans="4:13" ht="15" x14ac:dyDescent="0.3">
      <c r="E15" s="2" t="s">
        <v>6</v>
      </c>
      <c r="F15" s="3">
        <v>7000</v>
      </c>
      <c r="G15" s="2" t="s">
        <v>1</v>
      </c>
    </row>
    <row r="16" spans="4:13" ht="15" x14ac:dyDescent="0.3">
      <c r="E16" s="2" t="s">
        <v>7</v>
      </c>
      <c r="F16" s="3">
        <v>7000</v>
      </c>
      <c r="G16" s="2" t="s">
        <v>1</v>
      </c>
    </row>
    <row r="17" spans="4:9" ht="15" x14ac:dyDescent="0.3">
      <c r="E17" s="2" t="s">
        <v>8</v>
      </c>
      <c r="F17" s="3">
        <v>7000</v>
      </c>
      <c r="G17" s="2" t="s">
        <v>1</v>
      </c>
    </row>
    <row r="18" spans="4:9" ht="15" x14ac:dyDescent="0.3">
      <c r="E18" s="2" t="s">
        <v>9</v>
      </c>
      <c r="F18" s="3">
        <v>7000</v>
      </c>
      <c r="G18" s="2" t="s">
        <v>1</v>
      </c>
    </row>
    <row r="19" spans="4:9" ht="15" x14ac:dyDescent="0.3">
      <c r="E19" s="2" t="s">
        <v>10</v>
      </c>
      <c r="F19" s="3">
        <v>7000</v>
      </c>
      <c r="G19" s="2" t="s">
        <v>1</v>
      </c>
    </row>
    <row r="20" spans="4:9" ht="15" x14ac:dyDescent="0.3">
      <c r="E20" s="2" t="s">
        <v>11</v>
      </c>
      <c r="F20" s="3">
        <v>7000</v>
      </c>
      <c r="G20" s="2" t="s">
        <v>1</v>
      </c>
    </row>
    <row r="21" spans="4:9" ht="15.6" x14ac:dyDescent="0.3">
      <c r="E21" s="4" t="s">
        <v>12</v>
      </c>
      <c r="F21" s="5">
        <f>F20+F19+F18+F17+F16+F15+F14+F13+F12+F11</f>
        <v>70000</v>
      </c>
      <c r="G21" s="4" t="s">
        <v>1</v>
      </c>
    </row>
    <row r="25" spans="4:9" x14ac:dyDescent="0.3">
      <c r="D25" s="36" t="s">
        <v>95</v>
      </c>
      <c r="E25" s="36"/>
      <c r="F25" s="36"/>
      <c r="G25" s="36"/>
      <c r="H25" s="36"/>
      <c r="I25" s="36"/>
    </row>
    <row r="26" spans="4:9" ht="28.2" customHeight="1" x14ac:dyDescent="0.3">
      <c r="D26" s="36"/>
      <c r="E26" s="36"/>
      <c r="F26" s="36"/>
      <c r="G26" s="36"/>
      <c r="H26" s="36"/>
      <c r="I26" s="36"/>
    </row>
    <row r="27" spans="4:9" ht="15.6" x14ac:dyDescent="0.3">
      <c r="D27" s="4" t="s">
        <v>76</v>
      </c>
      <c r="E27" s="4" t="s">
        <v>21</v>
      </c>
      <c r="F27" s="4" t="s">
        <v>75</v>
      </c>
      <c r="G27" s="4" t="s">
        <v>74</v>
      </c>
      <c r="H27" s="4" t="s">
        <v>73</v>
      </c>
      <c r="I27" s="4" t="s">
        <v>72</v>
      </c>
    </row>
    <row r="28" spans="4:9" ht="15.6" x14ac:dyDescent="0.3">
      <c r="D28" s="4">
        <v>1</v>
      </c>
      <c r="E28" s="19" t="s">
        <v>94</v>
      </c>
      <c r="F28" s="3">
        <v>35000</v>
      </c>
      <c r="G28" s="3">
        <v>70</v>
      </c>
      <c r="H28" s="2" t="s">
        <v>33</v>
      </c>
      <c r="I28" s="5">
        <f>SUM(F28*G28)</f>
        <v>2450000</v>
      </c>
    </row>
    <row r="29" spans="4:9" ht="15.6" x14ac:dyDescent="0.3">
      <c r="D29" s="4">
        <v>2</v>
      </c>
      <c r="E29" s="19" t="s">
        <v>93</v>
      </c>
      <c r="F29" s="3">
        <v>2500</v>
      </c>
      <c r="G29" s="3">
        <v>20</v>
      </c>
      <c r="H29" s="2" t="s">
        <v>33</v>
      </c>
      <c r="I29" s="5">
        <f>SUM(F29*G29)</f>
        <v>50000</v>
      </c>
    </row>
    <row r="30" spans="4:9" ht="15.6" x14ac:dyDescent="0.3">
      <c r="D30" s="1"/>
      <c r="E30" s="14"/>
      <c r="F30" s="15"/>
      <c r="G30" s="16"/>
      <c r="H30" s="17"/>
      <c r="I30" s="18"/>
    </row>
    <row r="31" spans="4:9" ht="15.6" x14ac:dyDescent="0.3">
      <c r="D31" s="46">
        <v>3</v>
      </c>
      <c r="E31" s="23" t="s">
        <v>92</v>
      </c>
      <c r="F31" s="37"/>
      <c r="G31" s="38"/>
      <c r="H31" s="38"/>
      <c r="I31" s="39"/>
    </row>
    <row r="32" spans="4:9" ht="17.399999999999999" customHeight="1" x14ac:dyDescent="0.3">
      <c r="D32" s="47"/>
      <c r="E32" s="24" t="s">
        <v>91</v>
      </c>
      <c r="F32" s="43"/>
      <c r="G32" s="44"/>
      <c r="H32" s="44"/>
      <c r="I32" s="45"/>
    </row>
    <row r="33" spans="4:9" ht="15" x14ac:dyDescent="0.3">
      <c r="D33" s="2" t="s">
        <v>45</v>
      </c>
      <c r="E33" s="2" t="s">
        <v>44</v>
      </c>
      <c r="F33" s="3">
        <v>1000</v>
      </c>
      <c r="G33" s="3">
        <v>520</v>
      </c>
      <c r="H33" s="2" t="s">
        <v>43</v>
      </c>
      <c r="I33" s="3">
        <f>SUM(F33*G33)</f>
        <v>520000</v>
      </c>
    </row>
    <row r="34" spans="4:9" ht="15" x14ac:dyDescent="0.3">
      <c r="D34" s="2" t="s">
        <v>42</v>
      </c>
      <c r="E34" s="2" t="s">
        <v>41</v>
      </c>
      <c r="F34" s="3">
        <v>600</v>
      </c>
      <c r="G34" s="3">
        <v>50</v>
      </c>
      <c r="H34" s="2" t="s">
        <v>33</v>
      </c>
      <c r="I34" s="3">
        <f>SUM(F34*G34)</f>
        <v>30000</v>
      </c>
    </row>
    <row r="35" spans="4:9" ht="15" x14ac:dyDescent="0.3">
      <c r="D35" s="2" t="s">
        <v>40</v>
      </c>
      <c r="E35" s="2" t="s">
        <v>60</v>
      </c>
      <c r="F35" s="3">
        <v>500</v>
      </c>
      <c r="G35" s="3">
        <v>100</v>
      </c>
      <c r="H35" s="2" t="s">
        <v>33</v>
      </c>
      <c r="I35" s="3">
        <f>SUM(F35*G35)</f>
        <v>50000</v>
      </c>
    </row>
    <row r="36" spans="4:9" ht="15" x14ac:dyDescent="0.3">
      <c r="D36" s="2" t="s">
        <v>59</v>
      </c>
      <c r="E36" s="2" t="s">
        <v>82</v>
      </c>
      <c r="F36" s="3">
        <v>3000</v>
      </c>
      <c r="G36" s="3">
        <v>180</v>
      </c>
      <c r="H36" s="2" t="s">
        <v>33</v>
      </c>
      <c r="I36" s="3">
        <f>SUM(F36*G36)</f>
        <v>540000</v>
      </c>
    </row>
    <row r="37" spans="4:9" ht="15" x14ac:dyDescent="0.3">
      <c r="D37" s="2" t="s">
        <v>57</v>
      </c>
      <c r="E37" s="2" t="s">
        <v>96</v>
      </c>
      <c r="F37" s="9">
        <v>123740</v>
      </c>
      <c r="G37" s="3">
        <v>90</v>
      </c>
      <c r="H37" s="2" t="s">
        <v>54</v>
      </c>
      <c r="I37" s="3">
        <f>SUM(F37*G37)</f>
        <v>11136600</v>
      </c>
    </row>
    <row r="38" spans="4:9" ht="15.6" x14ac:dyDescent="0.3">
      <c r="D38" s="2"/>
      <c r="E38" s="2"/>
      <c r="F38" s="6" t="s">
        <v>37</v>
      </c>
      <c r="G38" s="3"/>
      <c r="H38" s="2"/>
      <c r="I38" s="5">
        <f>I37+I36+I35+I34+I33</f>
        <v>12276600</v>
      </c>
    </row>
    <row r="39" spans="4:9" ht="15.6" x14ac:dyDescent="0.3">
      <c r="D39" s="48">
        <v>4</v>
      </c>
      <c r="E39" s="22" t="s">
        <v>90</v>
      </c>
      <c r="F39" s="50"/>
      <c r="G39" s="51"/>
      <c r="H39" s="51"/>
      <c r="I39" s="52"/>
    </row>
    <row r="40" spans="4:9" ht="15.6" x14ac:dyDescent="0.3">
      <c r="D40" s="48"/>
      <c r="E40" s="22" t="s">
        <v>97</v>
      </c>
      <c r="F40" s="53"/>
      <c r="G40" s="54"/>
      <c r="H40" s="54"/>
      <c r="I40" s="55"/>
    </row>
    <row r="41" spans="4:9" ht="15.6" x14ac:dyDescent="0.3">
      <c r="D41" s="48"/>
      <c r="E41" s="22" t="s">
        <v>89</v>
      </c>
      <c r="F41" s="53"/>
      <c r="G41" s="54"/>
      <c r="H41" s="54"/>
      <c r="I41" s="55"/>
    </row>
    <row r="42" spans="4:9" ht="15.6" x14ac:dyDescent="0.3">
      <c r="D42" s="48"/>
      <c r="E42" s="22" t="s">
        <v>88</v>
      </c>
      <c r="F42" s="56"/>
      <c r="G42" s="57"/>
      <c r="H42" s="57"/>
      <c r="I42" s="58"/>
    </row>
    <row r="43" spans="4:9" ht="15" x14ac:dyDescent="0.3">
      <c r="D43" s="2" t="s">
        <v>45</v>
      </c>
      <c r="E43" s="2" t="s">
        <v>44</v>
      </c>
      <c r="F43" s="3">
        <v>30</v>
      </c>
      <c r="G43" s="3">
        <v>520</v>
      </c>
      <c r="H43" s="2" t="s">
        <v>43</v>
      </c>
      <c r="I43" s="3">
        <f>SUM(F43*G43)</f>
        <v>15600</v>
      </c>
    </row>
    <row r="44" spans="4:9" ht="15" x14ac:dyDescent="0.3">
      <c r="D44" s="2" t="s">
        <v>42</v>
      </c>
      <c r="E44" s="2" t="s">
        <v>41</v>
      </c>
      <c r="F44" s="3">
        <v>150</v>
      </c>
      <c r="G44" s="3">
        <v>50</v>
      </c>
      <c r="H44" s="2" t="s">
        <v>33</v>
      </c>
      <c r="I44" s="3">
        <f>SUM(F44*G44)</f>
        <v>7500</v>
      </c>
    </row>
    <row r="45" spans="4:9" ht="15" x14ac:dyDescent="0.3">
      <c r="D45" s="2" t="s">
        <v>40</v>
      </c>
      <c r="E45" s="2" t="s">
        <v>39</v>
      </c>
      <c r="F45" s="3">
        <v>1500</v>
      </c>
      <c r="G45" s="3">
        <v>10</v>
      </c>
      <c r="H45" s="2" t="s">
        <v>38</v>
      </c>
      <c r="I45" s="3">
        <f>SUM(F45*G45)</f>
        <v>15000</v>
      </c>
    </row>
    <row r="46" spans="4:9" ht="15.6" x14ac:dyDescent="0.3">
      <c r="D46" s="2"/>
      <c r="E46" s="2"/>
      <c r="F46" s="6" t="s">
        <v>37</v>
      </c>
      <c r="G46" s="3"/>
      <c r="H46" s="2"/>
      <c r="I46" s="5">
        <f>I45+I44+I43</f>
        <v>38100</v>
      </c>
    </row>
    <row r="47" spans="4:9" ht="15.6" x14ac:dyDescent="0.3">
      <c r="D47" s="48">
        <v>5</v>
      </c>
      <c r="E47" s="22" t="s">
        <v>87</v>
      </c>
      <c r="F47" s="50"/>
      <c r="G47" s="51"/>
      <c r="H47" s="51"/>
      <c r="I47" s="52"/>
    </row>
    <row r="48" spans="4:9" ht="15.6" x14ac:dyDescent="0.3">
      <c r="D48" s="48"/>
      <c r="E48" s="22" t="s">
        <v>86</v>
      </c>
      <c r="F48" s="53"/>
      <c r="G48" s="54"/>
      <c r="H48" s="54"/>
      <c r="I48" s="55"/>
    </row>
    <row r="49" spans="2:9" ht="15.6" x14ac:dyDescent="0.3">
      <c r="D49" s="48"/>
      <c r="E49" s="22" t="s">
        <v>85</v>
      </c>
      <c r="F49" s="53"/>
      <c r="G49" s="54"/>
      <c r="H49" s="54"/>
      <c r="I49" s="55"/>
    </row>
    <row r="50" spans="2:9" ht="15.6" x14ac:dyDescent="0.3">
      <c r="D50" s="48"/>
      <c r="E50" s="22" t="s">
        <v>84</v>
      </c>
      <c r="F50" s="53"/>
      <c r="G50" s="54"/>
      <c r="H50" s="54"/>
      <c r="I50" s="55"/>
    </row>
    <row r="51" spans="2:9" ht="15.6" x14ac:dyDescent="0.3">
      <c r="D51" s="48"/>
      <c r="E51" s="22" t="s">
        <v>83</v>
      </c>
      <c r="F51" s="56"/>
      <c r="G51" s="57"/>
      <c r="H51" s="57"/>
      <c r="I51" s="58"/>
    </row>
    <row r="52" spans="2:9" ht="15" x14ac:dyDescent="0.3">
      <c r="D52" s="2" t="s">
        <v>45</v>
      </c>
      <c r="E52" s="2" t="s">
        <v>44</v>
      </c>
      <c r="F52" s="3">
        <v>250</v>
      </c>
      <c r="G52" s="3">
        <v>520</v>
      </c>
      <c r="H52" s="2" t="s">
        <v>43</v>
      </c>
      <c r="I52" s="3">
        <f t="shared" ref="I52:I57" si="0">SUM(F52*G52)</f>
        <v>130000</v>
      </c>
    </row>
    <row r="53" spans="2:9" ht="15" x14ac:dyDescent="0.3">
      <c r="D53" s="2" t="s">
        <v>42</v>
      </c>
      <c r="E53" s="2" t="s">
        <v>41</v>
      </c>
      <c r="F53" s="3">
        <v>220</v>
      </c>
      <c r="G53" s="3">
        <v>50</v>
      </c>
      <c r="H53" s="2" t="s">
        <v>33</v>
      </c>
      <c r="I53" s="3">
        <f t="shared" si="0"/>
        <v>11000</v>
      </c>
    </row>
    <row r="54" spans="2:9" ht="15" x14ac:dyDescent="0.3">
      <c r="D54" s="2" t="s">
        <v>40</v>
      </c>
      <c r="E54" s="2" t="s">
        <v>60</v>
      </c>
      <c r="F54" s="3">
        <v>200</v>
      </c>
      <c r="G54" s="3">
        <v>100</v>
      </c>
      <c r="H54" s="2" t="s">
        <v>33</v>
      </c>
      <c r="I54" s="3">
        <f t="shared" si="0"/>
        <v>20000</v>
      </c>
    </row>
    <row r="55" spans="2:9" ht="15" x14ac:dyDescent="0.3">
      <c r="D55" s="2" t="s">
        <v>59</v>
      </c>
      <c r="E55" s="2" t="s">
        <v>82</v>
      </c>
      <c r="F55" s="3">
        <v>1200</v>
      </c>
      <c r="G55" s="3">
        <v>180</v>
      </c>
      <c r="H55" s="2" t="s">
        <v>33</v>
      </c>
      <c r="I55" s="3">
        <f t="shared" si="0"/>
        <v>216000</v>
      </c>
    </row>
    <row r="56" spans="2:9" ht="15" x14ac:dyDescent="0.3">
      <c r="D56" s="2" t="s">
        <v>57</v>
      </c>
      <c r="E56" s="2" t="s">
        <v>81</v>
      </c>
      <c r="F56" s="3">
        <v>7000</v>
      </c>
      <c r="G56" s="3">
        <v>10</v>
      </c>
      <c r="H56" s="2" t="s">
        <v>38</v>
      </c>
      <c r="I56" s="3">
        <f t="shared" si="0"/>
        <v>70000</v>
      </c>
    </row>
    <row r="57" spans="2:9" ht="15" x14ac:dyDescent="0.3">
      <c r="D57" s="2" t="s">
        <v>55</v>
      </c>
      <c r="E57" s="2" t="s">
        <v>96</v>
      </c>
      <c r="F57" s="9">
        <v>3000</v>
      </c>
      <c r="G57" s="3">
        <v>90</v>
      </c>
      <c r="H57" s="2" t="s">
        <v>54</v>
      </c>
      <c r="I57" s="3">
        <f t="shared" si="0"/>
        <v>270000</v>
      </c>
    </row>
    <row r="58" spans="2:9" ht="15.6" x14ac:dyDescent="0.3">
      <c r="D58" s="2"/>
      <c r="E58" s="2"/>
      <c r="F58" s="6" t="s">
        <v>37</v>
      </c>
      <c r="G58" s="3"/>
      <c r="H58" s="2"/>
      <c r="I58" s="5">
        <f>I57+I56+I55+I54+I53+I52</f>
        <v>717000</v>
      </c>
    </row>
    <row r="59" spans="2:9" ht="15.6" x14ac:dyDescent="0.3">
      <c r="D59" s="2"/>
      <c r="E59" s="2" t="s">
        <v>25</v>
      </c>
      <c r="F59" s="5"/>
      <c r="G59" s="3"/>
      <c r="H59" s="2"/>
      <c r="I59" s="5">
        <v>500000</v>
      </c>
    </row>
    <row r="60" spans="2:9" ht="15.6" x14ac:dyDescent="0.3">
      <c r="D60" s="2"/>
      <c r="E60" s="4" t="s">
        <v>80</v>
      </c>
      <c r="F60" s="6"/>
      <c r="G60" s="3"/>
      <c r="H60" s="2"/>
      <c r="I60" s="5">
        <f>I59+I58+I46+I38+I29+I28</f>
        <v>16031700</v>
      </c>
    </row>
    <row r="61" spans="2:9" ht="15.6" x14ac:dyDescent="0.3">
      <c r="D61" s="2"/>
      <c r="E61" s="4"/>
      <c r="F61" s="5"/>
      <c r="G61" s="3"/>
      <c r="H61" s="2"/>
      <c r="I61" s="5"/>
    </row>
    <row r="62" spans="2:9" ht="15.6" customHeight="1" x14ac:dyDescent="0.3">
      <c r="D62" s="27" t="s">
        <v>79</v>
      </c>
      <c r="E62" s="28"/>
      <c r="F62" s="28"/>
      <c r="G62" s="28"/>
      <c r="H62" s="28"/>
      <c r="I62" s="29"/>
    </row>
    <row r="63" spans="2:9" ht="15.6" customHeight="1" x14ac:dyDescent="0.3">
      <c r="D63" s="30"/>
      <c r="E63" s="31"/>
      <c r="F63" s="31"/>
      <c r="G63" s="31"/>
      <c r="H63" s="31"/>
      <c r="I63" s="32"/>
    </row>
    <row r="64" spans="2:9" ht="15.6" customHeight="1" x14ac:dyDescent="0.3">
      <c r="B64" s="13"/>
      <c r="C64" s="13"/>
      <c r="D64" s="33"/>
      <c r="E64" s="34"/>
      <c r="F64" s="34"/>
      <c r="G64" s="34"/>
      <c r="H64" s="34"/>
      <c r="I64" s="35"/>
    </row>
    <row r="65" spans="4:9" ht="15.6" x14ac:dyDescent="0.3">
      <c r="D65" s="4" t="s">
        <v>76</v>
      </c>
      <c r="E65" s="4" t="s">
        <v>21</v>
      </c>
      <c r="F65" s="4" t="s">
        <v>75</v>
      </c>
      <c r="G65" s="4" t="s">
        <v>74</v>
      </c>
      <c r="H65" s="4" t="s">
        <v>73</v>
      </c>
      <c r="I65" s="4" t="s">
        <v>72</v>
      </c>
    </row>
    <row r="66" spans="4:9" ht="15.6" x14ac:dyDescent="0.3">
      <c r="D66" s="4">
        <v>1</v>
      </c>
      <c r="E66" s="19" t="s">
        <v>71</v>
      </c>
      <c r="F66" s="3">
        <v>2350</v>
      </c>
      <c r="G66" s="3">
        <v>110</v>
      </c>
      <c r="H66" s="2" t="s">
        <v>33</v>
      </c>
      <c r="I66" s="5">
        <f>SUM(F66*G66)</f>
        <v>258500</v>
      </c>
    </row>
    <row r="67" spans="4:9" ht="15.6" x14ac:dyDescent="0.3">
      <c r="D67" s="4">
        <v>2</v>
      </c>
      <c r="E67" s="19" t="s">
        <v>70</v>
      </c>
      <c r="F67" s="3">
        <v>100</v>
      </c>
      <c r="G67" s="3">
        <v>65</v>
      </c>
      <c r="H67" s="2" t="s">
        <v>1</v>
      </c>
      <c r="I67" s="5">
        <f>SUM(F67*G67)</f>
        <v>6500</v>
      </c>
    </row>
    <row r="68" spans="4:9" ht="15.6" x14ac:dyDescent="0.3">
      <c r="D68" s="4">
        <v>1</v>
      </c>
      <c r="E68" s="19" t="s">
        <v>69</v>
      </c>
      <c r="F68" s="59"/>
      <c r="G68" s="59"/>
      <c r="H68" s="59"/>
      <c r="I68" s="59"/>
    </row>
    <row r="69" spans="4:9" ht="15.6" x14ac:dyDescent="0.3">
      <c r="D69" s="4"/>
      <c r="E69" s="19" t="s">
        <v>68</v>
      </c>
      <c r="F69" s="59"/>
      <c r="G69" s="59"/>
      <c r="H69" s="59"/>
      <c r="I69" s="59"/>
    </row>
    <row r="70" spans="4:9" ht="15" x14ac:dyDescent="0.3">
      <c r="D70" s="2" t="s">
        <v>45</v>
      </c>
      <c r="E70" s="2" t="s">
        <v>44</v>
      </c>
      <c r="F70" s="3">
        <v>75</v>
      </c>
      <c r="G70" s="3">
        <v>520</v>
      </c>
      <c r="H70" s="2" t="s">
        <v>43</v>
      </c>
      <c r="I70" s="3">
        <f>SUM(F70*G70)</f>
        <v>39000</v>
      </c>
    </row>
    <row r="71" spans="4:9" ht="15" x14ac:dyDescent="0.3">
      <c r="D71" s="2" t="s">
        <v>42</v>
      </c>
      <c r="E71" s="2" t="s">
        <v>41</v>
      </c>
      <c r="F71" s="3">
        <v>70</v>
      </c>
      <c r="G71" s="3">
        <v>50</v>
      </c>
      <c r="H71" s="2" t="s">
        <v>33</v>
      </c>
      <c r="I71" s="3">
        <f>SUM(F71*G71)</f>
        <v>3500</v>
      </c>
    </row>
    <row r="72" spans="4:9" ht="15" x14ac:dyDescent="0.3">
      <c r="D72" s="2" t="s">
        <v>40</v>
      </c>
      <c r="E72" s="2" t="s">
        <v>60</v>
      </c>
      <c r="F72" s="3">
        <v>70</v>
      </c>
      <c r="G72" s="3">
        <v>100</v>
      </c>
      <c r="H72" s="2" t="s">
        <v>33</v>
      </c>
      <c r="I72" s="3">
        <f>SUM(F72*G72)</f>
        <v>7000</v>
      </c>
    </row>
    <row r="73" spans="4:9" ht="15" x14ac:dyDescent="0.3">
      <c r="D73" s="2" t="s">
        <v>59</v>
      </c>
      <c r="E73" s="2" t="s">
        <v>67</v>
      </c>
      <c r="F73" s="3">
        <v>280</v>
      </c>
      <c r="G73" s="3">
        <v>180</v>
      </c>
      <c r="H73" s="2" t="s">
        <v>33</v>
      </c>
      <c r="I73" s="3">
        <f>SUM(F73*G73)</f>
        <v>50400</v>
      </c>
    </row>
    <row r="74" spans="4:9" ht="15" x14ac:dyDescent="0.3">
      <c r="D74" s="2" t="s">
        <v>57</v>
      </c>
      <c r="E74" s="2" t="s">
        <v>64</v>
      </c>
      <c r="F74" s="9">
        <v>3550</v>
      </c>
      <c r="G74" s="3">
        <v>90</v>
      </c>
      <c r="H74" s="2" t="s">
        <v>54</v>
      </c>
      <c r="I74" s="3">
        <f>SUM(F74*G74)</f>
        <v>319500</v>
      </c>
    </row>
    <row r="75" spans="4:9" ht="15.6" x14ac:dyDescent="0.3">
      <c r="D75" s="2"/>
      <c r="E75" s="2"/>
      <c r="F75" s="6" t="s">
        <v>37</v>
      </c>
      <c r="G75" s="3"/>
      <c r="H75" s="2"/>
      <c r="I75" s="5">
        <f>I74+I73+I72+I71+I70</f>
        <v>419400</v>
      </c>
    </row>
    <row r="76" spans="4:9" ht="15.6" x14ac:dyDescent="0.3">
      <c r="D76" s="4">
        <v>3</v>
      </c>
      <c r="E76" s="19" t="s">
        <v>66</v>
      </c>
      <c r="F76" s="59"/>
      <c r="G76" s="59"/>
      <c r="H76" s="59"/>
      <c r="I76" s="59"/>
    </row>
    <row r="77" spans="4:9" ht="15.6" x14ac:dyDescent="0.3">
      <c r="D77" s="4"/>
      <c r="E77" s="19" t="s">
        <v>61</v>
      </c>
      <c r="F77" s="59"/>
      <c r="G77" s="59"/>
      <c r="H77" s="59"/>
      <c r="I77" s="59"/>
    </row>
    <row r="78" spans="4:9" ht="15" x14ac:dyDescent="0.3">
      <c r="D78" s="2" t="s">
        <v>45</v>
      </c>
      <c r="E78" s="2" t="s">
        <v>44</v>
      </c>
      <c r="F78" s="3">
        <v>85</v>
      </c>
      <c r="G78" s="3">
        <v>520</v>
      </c>
      <c r="H78" s="2" t="s">
        <v>43</v>
      </c>
      <c r="I78" s="3">
        <f>SUM(F78*G78)</f>
        <v>44200</v>
      </c>
    </row>
    <row r="79" spans="4:9" ht="15" x14ac:dyDescent="0.3">
      <c r="D79" s="2" t="s">
        <v>42</v>
      </c>
      <c r="E79" s="2" t="s">
        <v>41</v>
      </c>
      <c r="F79" s="3">
        <v>130</v>
      </c>
      <c r="G79" s="3">
        <v>50</v>
      </c>
      <c r="H79" s="2" t="s">
        <v>33</v>
      </c>
      <c r="I79" s="3">
        <f>SUM(F79*G79)</f>
        <v>6500</v>
      </c>
    </row>
    <row r="80" spans="4:9" ht="15" x14ac:dyDescent="0.3">
      <c r="D80" s="2" t="s">
        <v>40</v>
      </c>
      <c r="E80" s="2" t="s">
        <v>60</v>
      </c>
      <c r="F80" s="3">
        <v>90</v>
      </c>
      <c r="G80" s="3">
        <v>100</v>
      </c>
      <c r="H80" s="2" t="s">
        <v>33</v>
      </c>
      <c r="I80" s="3">
        <f>SUM(F80*G80)</f>
        <v>9000</v>
      </c>
    </row>
    <row r="81" spans="4:9" ht="15" x14ac:dyDescent="0.3">
      <c r="D81" s="2" t="s">
        <v>57</v>
      </c>
      <c r="E81" s="2" t="s">
        <v>65</v>
      </c>
      <c r="F81" s="3">
        <v>425</v>
      </c>
      <c r="G81" s="3">
        <v>180</v>
      </c>
      <c r="H81" s="2" t="s">
        <v>33</v>
      </c>
      <c r="I81" s="3">
        <f>SUM(F81*G81)</f>
        <v>76500</v>
      </c>
    </row>
    <row r="82" spans="4:9" ht="15" x14ac:dyDescent="0.3">
      <c r="D82" s="2" t="s">
        <v>55</v>
      </c>
      <c r="E82" s="2" t="s">
        <v>64</v>
      </c>
      <c r="F82" s="9">
        <v>2600</v>
      </c>
      <c r="G82" s="3">
        <v>90</v>
      </c>
      <c r="H82" s="2" t="s">
        <v>54</v>
      </c>
      <c r="I82" s="3">
        <f>SUM(F82*G82)</f>
        <v>234000</v>
      </c>
    </row>
    <row r="83" spans="4:9" ht="15.6" x14ac:dyDescent="0.3">
      <c r="D83" s="2"/>
      <c r="E83" s="2"/>
      <c r="F83" s="5" t="s">
        <v>37</v>
      </c>
      <c r="G83" s="3"/>
      <c r="H83" s="2"/>
      <c r="I83" s="5">
        <f>I78+I79+I80+I81+I82</f>
        <v>370200</v>
      </c>
    </row>
    <row r="84" spans="4:9" ht="15.6" x14ac:dyDescent="0.3">
      <c r="D84" s="4">
        <v>4</v>
      </c>
      <c r="E84" s="10" t="s">
        <v>63</v>
      </c>
      <c r="F84" s="59"/>
      <c r="G84" s="59"/>
      <c r="H84" s="59"/>
      <c r="I84" s="59"/>
    </row>
    <row r="85" spans="4:9" ht="15.6" x14ac:dyDescent="0.3">
      <c r="D85" s="4"/>
      <c r="E85" s="10" t="s">
        <v>61</v>
      </c>
      <c r="F85" s="59"/>
      <c r="G85" s="59"/>
      <c r="H85" s="59"/>
      <c r="I85" s="59"/>
    </row>
    <row r="86" spans="4:9" ht="15" x14ac:dyDescent="0.3">
      <c r="D86" s="2" t="s">
        <v>45</v>
      </c>
      <c r="E86" s="2" t="s">
        <v>44</v>
      </c>
      <c r="F86" s="3">
        <v>190</v>
      </c>
      <c r="G86" s="3">
        <v>520</v>
      </c>
      <c r="H86" s="2" t="s">
        <v>43</v>
      </c>
      <c r="I86" s="3">
        <f>SUM(F86*G86)</f>
        <v>98800</v>
      </c>
    </row>
    <row r="87" spans="4:9" ht="15" x14ac:dyDescent="0.3">
      <c r="D87" s="2" t="s">
        <v>42</v>
      </c>
      <c r="E87" s="2" t="s">
        <v>41</v>
      </c>
      <c r="F87" s="3">
        <v>300</v>
      </c>
      <c r="G87" s="3">
        <v>50</v>
      </c>
      <c r="H87" s="2" t="s">
        <v>33</v>
      </c>
      <c r="I87" s="3">
        <f>SUM(F87*G87)</f>
        <v>15000</v>
      </c>
    </row>
    <row r="88" spans="4:9" ht="15" x14ac:dyDescent="0.3">
      <c r="D88" s="2" t="s">
        <v>40</v>
      </c>
      <c r="E88" s="2" t="s">
        <v>60</v>
      </c>
      <c r="F88" s="3">
        <v>200</v>
      </c>
      <c r="G88" s="3">
        <v>100</v>
      </c>
      <c r="H88" s="2" t="s">
        <v>33</v>
      </c>
      <c r="I88" s="3">
        <f>SUM(F88*G88)</f>
        <v>20000</v>
      </c>
    </row>
    <row r="89" spans="4:9" ht="15" x14ac:dyDescent="0.3">
      <c r="D89" s="2" t="s">
        <v>59</v>
      </c>
      <c r="E89" s="2" t="s">
        <v>58</v>
      </c>
      <c r="F89" s="3">
        <v>950</v>
      </c>
      <c r="G89" s="3">
        <v>180</v>
      </c>
      <c r="H89" s="2" t="s">
        <v>33</v>
      </c>
      <c r="I89" s="3">
        <f>SUM(F89*G89)</f>
        <v>171000</v>
      </c>
    </row>
    <row r="90" spans="4:9" ht="15" x14ac:dyDescent="0.3">
      <c r="D90" s="2" t="s">
        <v>57</v>
      </c>
      <c r="E90" s="2" t="s">
        <v>56</v>
      </c>
      <c r="F90" s="9">
        <v>4300</v>
      </c>
      <c r="G90" s="3">
        <v>90</v>
      </c>
      <c r="H90" s="2" t="s">
        <v>54</v>
      </c>
      <c r="I90" s="3">
        <f>SUM(F90*G90)</f>
        <v>387000</v>
      </c>
    </row>
    <row r="91" spans="4:9" ht="15.6" x14ac:dyDescent="0.3">
      <c r="D91" s="2"/>
      <c r="E91" s="2"/>
      <c r="F91" s="5" t="s">
        <v>37</v>
      </c>
      <c r="G91" s="3"/>
      <c r="H91" s="2"/>
      <c r="I91" s="5">
        <f>I86+I87+I88+I89+I90</f>
        <v>691800</v>
      </c>
    </row>
    <row r="92" spans="4:9" ht="15.6" x14ac:dyDescent="0.3">
      <c r="D92" s="4">
        <v>5</v>
      </c>
      <c r="E92" s="10" t="s">
        <v>62</v>
      </c>
      <c r="F92" s="59"/>
      <c r="G92" s="59"/>
      <c r="H92" s="59"/>
      <c r="I92" s="59"/>
    </row>
    <row r="93" spans="4:9" ht="15.6" x14ac:dyDescent="0.3">
      <c r="D93" s="4"/>
      <c r="E93" s="10" t="s">
        <v>61</v>
      </c>
      <c r="F93" s="59"/>
      <c r="G93" s="59"/>
      <c r="H93" s="59"/>
      <c r="I93" s="59"/>
    </row>
    <row r="94" spans="4:9" ht="15" x14ac:dyDescent="0.3">
      <c r="D94" s="2" t="s">
        <v>45</v>
      </c>
      <c r="E94" s="2" t="s">
        <v>44</v>
      </c>
      <c r="F94" s="3">
        <v>21</v>
      </c>
      <c r="G94" s="3">
        <v>520</v>
      </c>
      <c r="H94" s="2" t="s">
        <v>43</v>
      </c>
      <c r="I94" s="3">
        <f t="shared" ref="I94:I99" si="1">SUM(F94*G94)</f>
        <v>10920</v>
      </c>
    </row>
    <row r="95" spans="4:9" ht="15" x14ac:dyDescent="0.3">
      <c r="D95" s="2" t="s">
        <v>42</v>
      </c>
      <c r="E95" s="2" t="s">
        <v>41</v>
      </c>
      <c r="F95" s="3">
        <v>35</v>
      </c>
      <c r="G95" s="3">
        <v>50</v>
      </c>
      <c r="H95" s="2" t="s">
        <v>33</v>
      </c>
      <c r="I95" s="3">
        <f t="shared" si="1"/>
        <v>1750</v>
      </c>
    </row>
    <row r="96" spans="4:9" ht="15" x14ac:dyDescent="0.3">
      <c r="D96" s="2" t="s">
        <v>40</v>
      </c>
      <c r="E96" s="2" t="s">
        <v>60</v>
      </c>
      <c r="F96" s="3">
        <v>25</v>
      </c>
      <c r="G96" s="3">
        <v>100</v>
      </c>
      <c r="H96" s="2" t="s">
        <v>33</v>
      </c>
      <c r="I96" s="3">
        <f t="shared" si="1"/>
        <v>2500</v>
      </c>
    </row>
    <row r="97" spans="4:9" ht="15" x14ac:dyDescent="0.3">
      <c r="D97" s="2" t="s">
        <v>59</v>
      </c>
      <c r="E97" s="2" t="s">
        <v>58</v>
      </c>
      <c r="F97" s="3">
        <v>110</v>
      </c>
      <c r="G97" s="3">
        <v>180</v>
      </c>
      <c r="H97" s="2" t="s">
        <v>33</v>
      </c>
      <c r="I97" s="3">
        <f t="shared" si="1"/>
        <v>19800</v>
      </c>
    </row>
    <row r="98" spans="4:9" ht="15" x14ac:dyDescent="0.3">
      <c r="D98" s="2" t="s">
        <v>57</v>
      </c>
      <c r="E98" s="2" t="s">
        <v>56</v>
      </c>
      <c r="F98" s="9">
        <v>280</v>
      </c>
      <c r="G98" s="3">
        <v>90</v>
      </c>
      <c r="H98" s="2" t="s">
        <v>54</v>
      </c>
      <c r="I98" s="3">
        <f t="shared" si="1"/>
        <v>25200</v>
      </c>
    </row>
    <row r="99" spans="4:9" ht="15" x14ac:dyDescent="0.3">
      <c r="D99" s="2" t="s">
        <v>55</v>
      </c>
      <c r="E99" s="2" t="s">
        <v>52</v>
      </c>
      <c r="F99" s="9">
        <v>25</v>
      </c>
      <c r="G99" s="3">
        <v>200</v>
      </c>
      <c r="H99" s="2" t="s">
        <v>51</v>
      </c>
      <c r="I99" s="3">
        <f t="shared" si="1"/>
        <v>5000</v>
      </c>
    </row>
    <row r="100" spans="4:9" ht="15.6" x14ac:dyDescent="0.3">
      <c r="D100" s="2"/>
      <c r="E100" s="2"/>
      <c r="F100" s="5" t="s">
        <v>37</v>
      </c>
      <c r="G100" s="3"/>
      <c r="H100" s="2"/>
      <c r="I100" s="5">
        <f>I99+I98+I97+I96+I95+I94</f>
        <v>65170</v>
      </c>
    </row>
    <row r="101" spans="4:9" ht="15.6" x14ac:dyDescent="0.3">
      <c r="D101" s="4">
        <v>6</v>
      </c>
      <c r="E101" s="19" t="s">
        <v>50</v>
      </c>
      <c r="F101" s="37"/>
      <c r="G101" s="38"/>
      <c r="H101" s="38"/>
      <c r="I101" s="39"/>
    </row>
    <row r="102" spans="4:9" ht="15.6" x14ac:dyDescent="0.3">
      <c r="D102" s="4"/>
      <c r="E102" s="19" t="s">
        <v>49</v>
      </c>
      <c r="F102" s="40"/>
      <c r="G102" s="41"/>
      <c r="H102" s="41"/>
      <c r="I102" s="42"/>
    </row>
    <row r="103" spans="4:9" ht="15.6" x14ac:dyDescent="0.3">
      <c r="D103" s="4"/>
      <c r="E103" s="19" t="s">
        <v>48</v>
      </c>
      <c r="F103" s="43"/>
      <c r="G103" s="44"/>
      <c r="H103" s="44"/>
      <c r="I103" s="45"/>
    </row>
    <row r="104" spans="4:9" ht="15" x14ac:dyDescent="0.3">
      <c r="D104" s="2" t="s">
        <v>45</v>
      </c>
      <c r="E104" s="2" t="s">
        <v>44</v>
      </c>
      <c r="F104" s="3">
        <v>60</v>
      </c>
      <c r="G104" s="3">
        <v>520</v>
      </c>
      <c r="H104" s="2" t="s">
        <v>43</v>
      </c>
      <c r="I104" s="3">
        <f>SUM(F104*G104)</f>
        <v>31200</v>
      </c>
    </row>
    <row r="105" spans="4:9" ht="15" x14ac:dyDescent="0.3">
      <c r="D105" s="2" t="s">
        <v>42</v>
      </c>
      <c r="E105" s="2" t="s">
        <v>41</v>
      </c>
      <c r="F105" s="3">
        <v>400</v>
      </c>
      <c r="G105" s="3">
        <v>50</v>
      </c>
      <c r="H105" s="2" t="s">
        <v>33</v>
      </c>
      <c r="I105" s="3">
        <f>SUM(F105*G105)</f>
        <v>20000</v>
      </c>
    </row>
    <row r="106" spans="4:9" ht="15.6" x14ac:dyDescent="0.3">
      <c r="D106" s="2"/>
      <c r="E106" s="2"/>
      <c r="F106" s="5" t="s">
        <v>37</v>
      </c>
      <c r="G106" s="3"/>
      <c r="H106" s="2"/>
      <c r="I106" s="5">
        <f>I104+I105</f>
        <v>51200</v>
      </c>
    </row>
    <row r="107" spans="4:9" ht="15.6" x14ac:dyDescent="0.3">
      <c r="D107" s="4">
        <v>7</v>
      </c>
      <c r="E107" s="19" t="s">
        <v>47</v>
      </c>
      <c r="F107" s="59"/>
      <c r="G107" s="59"/>
      <c r="H107" s="59"/>
      <c r="I107" s="59"/>
    </row>
    <row r="108" spans="4:9" ht="15.6" x14ac:dyDescent="0.3">
      <c r="D108" s="4"/>
      <c r="E108" s="19" t="s">
        <v>46</v>
      </c>
      <c r="F108" s="59"/>
      <c r="G108" s="59"/>
      <c r="H108" s="59"/>
      <c r="I108" s="59"/>
    </row>
    <row r="109" spans="4:9" ht="15" x14ac:dyDescent="0.3">
      <c r="D109" s="2" t="s">
        <v>45</v>
      </c>
      <c r="E109" s="2" t="s">
        <v>44</v>
      </c>
      <c r="F109" s="3">
        <v>50</v>
      </c>
      <c r="G109" s="3">
        <v>520</v>
      </c>
      <c r="H109" s="2" t="s">
        <v>43</v>
      </c>
      <c r="I109" s="3">
        <f>SUM(F109*G109)</f>
        <v>26000</v>
      </c>
    </row>
    <row r="110" spans="4:9" ht="15" x14ac:dyDescent="0.3">
      <c r="D110" s="2" t="s">
        <v>42</v>
      </c>
      <c r="E110" s="2" t="s">
        <v>41</v>
      </c>
      <c r="F110" s="3">
        <v>400</v>
      </c>
      <c r="G110" s="3">
        <v>50</v>
      </c>
      <c r="H110" s="2" t="s">
        <v>33</v>
      </c>
      <c r="I110" s="3">
        <f>SUM(F110*G110)</f>
        <v>20000</v>
      </c>
    </row>
    <row r="111" spans="4:9" ht="15" x14ac:dyDescent="0.3">
      <c r="D111" s="2" t="s">
        <v>40</v>
      </c>
      <c r="E111" s="2" t="s">
        <v>39</v>
      </c>
      <c r="F111" s="3">
        <v>8000</v>
      </c>
      <c r="G111" s="3">
        <v>10</v>
      </c>
      <c r="H111" s="2" t="s">
        <v>38</v>
      </c>
      <c r="I111" s="3">
        <f>SUM(F111*G111)</f>
        <v>80000</v>
      </c>
    </row>
    <row r="112" spans="4:9" ht="15.6" x14ac:dyDescent="0.3">
      <c r="D112" s="2"/>
      <c r="E112" s="2"/>
      <c r="F112" s="5" t="s">
        <v>37</v>
      </c>
      <c r="G112" s="3"/>
      <c r="H112" s="2"/>
      <c r="I112" s="5">
        <f>I111+I110+I109</f>
        <v>126000</v>
      </c>
    </row>
    <row r="113" spans="4:9" ht="15.6" x14ac:dyDescent="0.3">
      <c r="D113" s="2"/>
      <c r="E113" s="2"/>
      <c r="F113" s="5"/>
      <c r="G113" s="3"/>
      <c r="H113" s="2"/>
      <c r="I113" s="5"/>
    </row>
    <row r="114" spans="4:9" ht="15.6" x14ac:dyDescent="0.3">
      <c r="D114" s="4">
        <v>8</v>
      </c>
      <c r="E114" s="19" t="s">
        <v>36</v>
      </c>
      <c r="F114" s="3">
        <v>150</v>
      </c>
      <c r="G114" s="3">
        <v>150</v>
      </c>
      <c r="H114" s="2" t="s">
        <v>1</v>
      </c>
      <c r="I114" s="3">
        <f t="shared" ref="I114:I120" si="2">SUM(F114*G114)</f>
        <v>22500</v>
      </c>
    </row>
    <row r="115" spans="4:9" ht="15.6" x14ac:dyDescent="0.3">
      <c r="D115" s="4">
        <v>9</v>
      </c>
      <c r="E115" s="19" t="s">
        <v>35</v>
      </c>
      <c r="F115" s="3">
        <v>20</v>
      </c>
      <c r="G115" s="3">
        <v>2500</v>
      </c>
      <c r="H115" s="2" t="s">
        <v>33</v>
      </c>
      <c r="I115" s="3">
        <f t="shared" si="2"/>
        <v>50000</v>
      </c>
    </row>
    <row r="116" spans="4:9" ht="15.6" x14ac:dyDescent="0.3">
      <c r="D116" s="4">
        <v>10</v>
      </c>
      <c r="E116" s="19" t="s">
        <v>34</v>
      </c>
      <c r="F116" s="3">
        <v>16</v>
      </c>
      <c r="G116" s="3">
        <v>2500</v>
      </c>
      <c r="H116" s="2" t="s">
        <v>33</v>
      </c>
      <c r="I116" s="3">
        <f t="shared" si="2"/>
        <v>40000</v>
      </c>
    </row>
    <row r="117" spans="4:9" ht="15.6" x14ac:dyDescent="0.3">
      <c r="D117" s="4">
        <v>11</v>
      </c>
      <c r="E117" s="19" t="s">
        <v>32</v>
      </c>
      <c r="F117" s="9">
        <v>2</v>
      </c>
      <c r="G117" s="3">
        <v>3000</v>
      </c>
      <c r="H117" s="2" t="s">
        <v>31</v>
      </c>
      <c r="I117" s="3">
        <f t="shared" si="2"/>
        <v>6000</v>
      </c>
    </row>
    <row r="118" spans="4:9" ht="15.6" x14ac:dyDescent="0.3">
      <c r="D118" s="4">
        <v>12</v>
      </c>
      <c r="E118" s="19" t="s">
        <v>30</v>
      </c>
      <c r="F118" s="3">
        <v>150</v>
      </c>
      <c r="G118" s="3">
        <v>260</v>
      </c>
      <c r="H118" s="2" t="s">
        <v>1</v>
      </c>
      <c r="I118" s="3">
        <f t="shared" si="2"/>
        <v>39000</v>
      </c>
    </row>
    <row r="119" spans="4:9" ht="15.6" x14ac:dyDescent="0.3">
      <c r="D119" s="4">
        <v>13</v>
      </c>
      <c r="E119" s="19" t="s">
        <v>29</v>
      </c>
      <c r="F119" s="3">
        <v>7000</v>
      </c>
      <c r="G119" s="3">
        <v>12</v>
      </c>
      <c r="H119" s="2" t="s">
        <v>1</v>
      </c>
      <c r="I119" s="3">
        <f t="shared" si="2"/>
        <v>84000</v>
      </c>
    </row>
    <row r="120" spans="4:9" ht="15.6" x14ac:dyDescent="0.3">
      <c r="D120" s="4">
        <v>14</v>
      </c>
      <c r="E120" s="19" t="s">
        <v>28</v>
      </c>
      <c r="F120" s="3">
        <v>7000</v>
      </c>
      <c r="G120" s="3">
        <v>7</v>
      </c>
      <c r="H120" s="2" t="s">
        <v>1</v>
      </c>
      <c r="I120" s="3">
        <f t="shared" si="2"/>
        <v>49000</v>
      </c>
    </row>
    <row r="121" spans="4:9" ht="15.6" x14ac:dyDescent="0.3">
      <c r="D121" s="4">
        <v>15</v>
      </c>
      <c r="E121" s="19" t="s">
        <v>27</v>
      </c>
      <c r="F121" s="3"/>
      <c r="G121" s="3"/>
      <c r="H121" s="2"/>
      <c r="I121" s="3">
        <v>210000</v>
      </c>
    </row>
    <row r="122" spans="4:9" ht="15.6" x14ac:dyDescent="0.3">
      <c r="D122" s="4">
        <v>16</v>
      </c>
      <c r="E122" s="19" t="s">
        <v>26</v>
      </c>
      <c r="F122" s="3"/>
      <c r="G122" s="3"/>
      <c r="H122" s="2"/>
      <c r="I122" s="3">
        <v>600000</v>
      </c>
    </row>
    <row r="123" spans="4:9" ht="15.6" x14ac:dyDescent="0.3">
      <c r="D123" s="2"/>
      <c r="E123" s="19" t="s">
        <v>25</v>
      </c>
      <c r="F123" s="5"/>
      <c r="G123" s="3"/>
      <c r="H123" s="2"/>
      <c r="I123" s="5">
        <v>500000</v>
      </c>
    </row>
    <row r="124" spans="4:9" ht="15.6" x14ac:dyDescent="0.3">
      <c r="D124" s="2"/>
      <c r="E124" s="19" t="s">
        <v>78</v>
      </c>
      <c r="F124" s="5"/>
      <c r="G124" s="3"/>
      <c r="H124" s="2"/>
      <c r="I124" s="5">
        <f>I123+I122+I121+I120+I119+I118+I117+I116+I115+I114+I112+I106+I100+I91+I83+I75+I67+I66</f>
        <v>3589270</v>
      </c>
    </row>
    <row r="125" spans="4:9" ht="15.6" x14ac:dyDescent="0.3">
      <c r="D125" s="2"/>
      <c r="E125" s="19"/>
      <c r="F125" s="5"/>
      <c r="G125" s="3"/>
      <c r="H125" s="2"/>
      <c r="I125" s="5"/>
    </row>
    <row r="126" spans="4:9" ht="15.6" customHeight="1" x14ac:dyDescent="0.3">
      <c r="D126" s="27" t="s">
        <v>77</v>
      </c>
      <c r="E126" s="28"/>
      <c r="F126" s="28"/>
      <c r="G126" s="28"/>
      <c r="H126" s="28"/>
      <c r="I126" s="29"/>
    </row>
    <row r="127" spans="4:9" ht="15.6" customHeight="1" x14ac:dyDescent="0.3">
      <c r="D127" s="30"/>
      <c r="E127" s="31"/>
      <c r="F127" s="31"/>
      <c r="G127" s="31"/>
      <c r="H127" s="31"/>
      <c r="I127" s="32"/>
    </row>
    <row r="128" spans="4:9" ht="15.6" customHeight="1" x14ac:dyDescent="0.3">
      <c r="D128" s="33"/>
      <c r="E128" s="34"/>
      <c r="F128" s="34"/>
      <c r="G128" s="34"/>
      <c r="H128" s="34"/>
      <c r="I128" s="35"/>
    </row>
    <row r="129" spans="4:9" ht="15.6" x14ac:dyDescent="0.3">
      <c r="D129" s="4" t="s">
        <v>76</v>
      </c>
      <c r="E129" s="4" t="s">
        <v>21</v>
      </c>
      <c r="F129" s="4" t="s">
        <v>75</v>
      </c>
      <c r="G129" s="4" t="s">
        <v>74</v>
      </c>
      <c r="H129" s="4" t="s">
        <v>73</v>
      </c>
      <c r="I129" s="4" t="s">
        <v>72</v>
      </c>
    </row>
    <row r="130" spans="4:9" ht="15.6" x14ac:dyDescent="0.3">
      <c r="D130" s="4">
        <v>1</v>
      </c>
      <c r="E130" s="19" t="s">
        <v>71</v>
      </c>
      <c r="F130" s="3">
        <v>7000</v>
      </c>
      <c r="G130" s="3">
        <v>150</v>
      </c>
      <c r="H130" s="2" t="s">
        <v>33</v>
      </c>
      <c r="I130" s="5">
        <f>SUM(F130*G130)</f>
        <v>1050000</v>
      </c>
    </row>
    <row r="131" spans="4:9" ht="15.6" x14ac:dyDescent="0.3">
      <c r="D131" s="4">
        <v>2</v>
      </c>
      <c r="E131" s="19" t="s">
        <v>70</v>
      </c>
      <c r="F131" s="3">
        <v>2000</v>
      </c>
      <c r="G131" s="3">
        <v>65</v>
      </c>
      <c r="H131" s="2" t="s">
        <v>1</v>
      </c>
      <c r="I131" s="5">
        <f>SUM(F131*G131)</f>
        <v>130000</v>
      </c>
    </row>
    <row r="132" spans="4:9" ht="15.6" x14ac:dyDescent="0.3">
      <c r="D132" s="4">
        <v>3</v>
      </c>
      <c r="E132" s="10" t="s">
        <v>69</v>
      </c>
      <c r="F132" s="59"/>
      <c r="G132" s="59"/>
      <c r="H132" s="59"/>
      <c r="I132" s="59"/>
    </row>
    <row r="133" spans="4:9" ht="15.6" x14ac:dyDescent="0.3">
      <c r="D133" s="4"/>
      <c r="E133" s="10" t="s">
        <v>68</v>
      </c>
      <c r="F133" s="59"/>
      <c r="G133" s="59"/>
      <c r="H133" s="59"/>
      <c r="I133" s="59"/>
    </row>
    <row r="134" spans="4:9" ht="15" x14ac:dyDescent="0.3">
      <c r="D134" s="2" t="s">
        <v>45</v>
      </c>
      <c r="E134" s="2" t="s">
        <v>44</v>
      </c>
      <c r="F134" s="3">
        <v>100</v>
      </c>
      <c r="G134" s="3">
        <v>520</v>
      </c>
      <c r="H134" s="2" t="s">
        <v>43</v>
      </c>
      <c r="I134" s="3">
        <f>SUM(F134*G134)</f>
        <v>52000</v>
      </c>
    </row>
    <row r="135" spans="4:9" ht="15" x14ac:dyDescent="0.3">
      <c r="D135" s="2" t="s">
        <v>42</v>
      </c>
      <c r="E135" s="2" t="s">
        <v>41</v>
      </c>
      <c r="F135" s="3">
        <v>75</v>
      </c>
      <c r="G135" s="3">
        <v>50</v>
      </c>
      <c r="H135" s="2" t="s">
        <v>33</v>
      </c>
      <c r="I135" s="3">
        <f>SUM(F135*G135)</f>
        <v>3750</v>
      </c>
    </row>
    <row r="136" spans="4:9" ht="15" x14ac:dyDescent="0.3">
      <c r="D136" s="2" t="s">
        <v>40</v>
      </c>
      <c r="E136" s="2" t="s">
        <v>60</v>
      </c>
      <c r="F136" s="3">
        <v>75</v>
      </c>
      <c r="G136" s="3">
        <v>100</v>
      </c>
      <c r="H136" s="2" t="s">
        <v>33</v>
      </c>
      <c r="I136" s="3">
        <f>SUM(F136*G136)</f>
        <v>7500</v>
      </c>
    </row>
    <row r="137" spans="4:9" ht="15" x14ac:dyDescent="0.3">
      <c r="D137" s="2" t="s">
        <v>59</v>
      </c>
      <c r="E137" s="2" t="s">
        <v>67</v>
      </c>
      <c r="F137" s="3">
        <v>375</v>
      </c>
      <c r="G137" s="3">
        <v>180</v>
      </c>
      <c r="H137" s="2" t="s">
        <v>33</v>
      </c>
      <c r="I137" s="3">
        <f>SUM(F137*G137)</f>
        <v>67500</v>
      </c>
    </row>
    <row r="138" spans="4:9" ht="15" x14ac:dyDescent="0.3">
      <c r="D138" s="2" t="s">
        <v>57</v>
      </c>
      <c r="E138" s="2" t="s">
        <v>96</v>
      </c>
      <c r="F138" s="9">
        <v>3500</v>
      </c>
      <c r="G138" s="3">
        <v>90</v>
      </c>
      <c r="H138" s="2" t="s">
        <v>54</v>
      </c>
      <c r="I138" s="3">
        <f>SUM(F138*G138)</f>
        <v>315000</v>
      </c>
    </row>
    <row r="139" spans="4:9" ht="15.6" x14ac:dyDescent="0.3">
      <c r="D139" s="2"/>
      <c r="E139" s="2"/>
      <c r="F139" s="6" t="s">
        <v>37</v>
      </c>
      <c r="G139" s="3"/>
      <c r="H139" s="2"/>
      <c r="I139" s="5">
        <f>I138+I137+I136+I135+I134</f>
        <v>445750</v>
      </c>
    </row>
    <row r="140" spans="4:9" ht="15.6" x14ac:dyDescent="0.3">
      <c r="D140" s="4">
        <v>4</v>
      </c>
      <c r="E140" s="10" t="s">
        <v>66</v>
      </c>
      <c r="F140" s="59"/>
      <c r="G140" s="59"/>
      <c r="H140" s="59"/>
      <c r="I140" s="59"/>
    </row>
    <row r="141" spans="4:9" ht="15.6" x14ac:dyDescent="0.3">
      <c r="D141" s="4"/>
      <c r="E141" s="10" t="s">
        <v>61</v>
      </c>
      <c r="F141" s="59"/>
      <c r="G141" s="59"/>
      <c r="H141" s="59"/>
      <c r="I141" s="59"/>
    </row>
    <row r="142" spans="4:9" ht="15" x14ac:dyDescent="0.3">
      <c r="D142" s="2" t="s">
        <v>45</v>
      </c>
      <c r="E142" s="2" t="s">
        <v>44</v>
      </c>
      <c r="F142" s="3">
        <v>120</v>
      </c>
      <c r="G142" s="3">
        <v>520</v>
      </c>
      <c r="H142" s="2" t="s">
        <v>43</v>
      </c>
      <c r="I142" s="3">
        <f>SUM(F142*G142)</f>
        <v>62400</v>
      </c>
    </row>
    <row r="143" spans="4:9" ht="15" x14ac:dyDescent="0.3">
      <c r="D143" s="2" t="s">
        <v>42</v>
      </c>
      <c r="E143" s="2" t="s">
        <v>41</v>
      </c>
      <c r="F143" s="3">
        <v>130</v>
      </c>
      <c r="G143" s="3">
        <v>50</v>
      </c>
      <c r="H143" s="2" t="s">
        <v>33</v>
      </c>
      <c r="I143" s="3">
        <f>SUM(F143*G143)</f>
        <v>6500</v>
      </c>
    </row>
    <row r="144" spans="4:9" ht="15" x14ac:dyDescent="0.3">
      <c r="D144" s="2" t="s">
        <v>40</v>
      </c>
      <c r="E144" s="2" t="s">
        <v>60</v>
      </c>
      <c r="F144" s="3">
        <v>90</v>
      </c>
      <c r="G144" s="3">
        <v>100</v>
      </c>
      <c r="H144" s="2" t="s">
        <v>33</v>
      </c>
      <c r="I144" s="3">
        <f>SUM(F144*G144)</f>
        <v>9000</v>
      </c>
    </row>
    <row r="145" spans="4:9" ht="15" x14ac:dyDescent="0.3">
      <c r="D145" s="2" t="s">
        <v>57</v>
      </c>
      <c r="E145" s="2" t="s">
        <v>65</v>
      </c>
      <c r="F145" s="3">
        <v>425</v>
      </c>
      <c r="G145" s="3">
        <v>180</v>
      </c>
      <c r="H145" s="2" t="s">
        <v>33</v>
      </c>
      <c r="I145" s="3">
        <f>SUM(F145*G145)</f>
        <v>76500</v>
      </c>
    </row>
    <row r="146" spans="4:9" ht="15" x14ac:dyDescent="0.3">
      <c r="D146" s="2" t="s">
        <v>53</v>
      </c>
      <c r="E146" s="2" t="s">
        <v>96</v>
      </c>
      <c r="F146" s="9">
        <v>1400</v>
      </c>
      <c r="G146" s="3">
        <v>90</v>
      </c>
      <c r="H146" s="2" t="s">
        <v>54</v>
      </c>
      <c r="I146" s="3">
        <f>SUM(F146*G146)</f>
        <v>126000</v>
      </c>
    </row>
    <row r="147" spans="4:9" ht="15.6" x14ac:dyDescent="0.3">
      <c r="D147" s="2"/>
      <c r="E147" s="2"/>
      <c r="F147" s="5" t="s">
        <v>37</v>
      </c>
      <c r="G147" s="3"/>
      <c r="H147" s="2"/>
      <c r="I147" s="5">
        <f>I142+I143+I144+I145+I146</f>
        <v>280400</v>
      </c>
    </row>
    <row r="148" spans="4:9" ht="15.6" x14ac:dyDescent="0.3">
      <c r="D148" s="4">
        <v>5</v>
      </c>
      <c r="E148" s="10" t="s">
        <v>63</v>
      </c>
      <c r="F148" s="59"/>
      <c r="G148" s="59"/>
      <c r="H148" s="59"/>
      <c r="I148" s="59"/>
    </row>
    <row r="149" spans="4:9" ht="15.6" x14ac:dyDescent="0.3">
      <c r="D149" s="4"/>
      <c r="E149" s="10" t="s">
        <v>61</v>
      </c>
      <c r="F149" s="59"/>
      <c r="G149" s="59"/>
      <c r="H149" s="59"/>
      <c r="I149" s="59"/>
    </row>
    <row r="150" spans="4:9" ht="15" x14ac:dyDescent="0.3">
      <c r="D150" s="2" t="s">
        <v>45</v>
      </c>
      <c r="E150" s="2" t="s">
        <v>44</v>
      </c>
      <c r="F150" s="3">
        <v>220</v>
      </c>
      <c r="G150" s="3">
        <v>520</v>
      </c>
      <c r="H150" s="2" t="s">
        <v>43</v>
      </c>
      <c r="I150" s="3">
        <f>SUM(F150*G150)</f>
        <v>114400</v>
      </c>
    </row>
    <row r="151" spans="4:9" ht="15" x14ac:dyDescent="0.3">
      <c r="D151" s="2" t="s">
        <v>42</v>
      </c>
      <c r="E151" s="2" t="s">
        <v>41</v>
      </c>
      <c r="F151" s="3">
        <v>300</v>
      </c>
      <c r="G151" s="3">
        <v>50</v>
      </c>
      <c r="H151" s="2" t="s">
        <v>33</v>
      </c>
      <c r="I151" s="3">
        <f>SUM(F151*G151)</f>
        <v>15000</v>
      </c>
    </row>
    <row r="152" spans="4:9" ht="15" x14ac:dyDescent="0.3">
      <c r="D152" s="2" t="s">
        <v>40</v>
      </c>
      <c r="E152" s="2" t="s">
        <v>60</v>
      </c>
      <c r="F152" s="3">
        <v>200</v>
      </c>
      <c r="G152" s="3">
        <v>100</v>
      </c>
      <c r="H152" s="2" t="s">
        <v>33</v>
      </c>
      <c r="I152" s="3">
        <f>SUM(F152*G152)</f>
        <v>20000</v>
      </c>
    </row>
    <row r="153" spans="4:9" ht="15" x14ac:dyDescent="0.3">
      <c r="D153" s="2" t="s">
        <v>59</v>
      </c>
      <c r="E153" s="2" t="s">
        <v>58</v>
      </c>
      <c r="F153" s="3">
        <v>950</v>
      </c>
      <c r="G153" s="3">
        <v>180</v>
      </c>
      <c r="H153" s="2" t="s">
        <v>33</v>
      </c>
      <c r="I153" s="3">
        <f>SUM(F153*G153)</f>
        <v>171000</v>
      </c>
    </row>
    <row r="154" spans="4:9" ht="15" x14ac:dyDescent="0.3">
      <c r="D154" s="2" t="s">
        <v>57</v>
      </c>
      <c r="E154" s="2" t="s">
        <v>96</v>
      </c>
      <c r="F154" s="9">
        <v>750</v>
      </c>
      <c r="G154" s="3">
        <v>90</v>
      </c>
      <c r="H154" s="2" t="s">
        <v>54</v>
      </c>
      <c r="I154" s="3">
        <f>SUM(F154*G154)</f>
        <v>67500</v>
      </c>
    </row>
    <row r="155" spans="4:9" ht="15.6" x14ac:dyDescent="0.3">
      <c r="D155" s="2"/>
      <c r="E155" s="2"/>
      <c r="F155" s="5" t="s">
        <v>37</v>
      </c>
      <c r="G155" s="3"/>
      <c r="H155" s="2"/>
      <c r="I155" s="5">
        <f>I150+I151+I152+I153+I154</f>
        <v>387900</v>
      </c>
    </row>
    <row r="156" spans="4:9" ht="15.6" x14ac:dyDescent="0.3">
      <c r="D156" s="2"/>
      <c r="E156" s="2"/>
      <c r="F156" s="5"/>
      <c r="G156" s="3"/>
      <c r="H156" s="2"/>
      <c r="I156" s="5"/>
    </row>
    <row r="157" spans="4:9" ht="15.6" x14ac:dyDescent="0.3">
      <c r="D157" s="4">
        <v>7</v>
      </c>
      <c r="E157" s="10" t="s">
        <v>62</v>
      </c>
      <c r="F157" s="59"/>
      <c r="G157" s="59"/>
      <c r="H157" s="59"/>
      <c r="I157" s="59"/>
    </row>
    <row r="158" spans="4:9" ht="15.6" x14ac:dyDescent="0.3">
      <c r="D158" s="4"/>
      <c r="E158" s="10" t="s">
        <v>61</v>
      </c>
      <c r="F158" s="59"/>
      <c r="G158" s="59"/>
      <c r="H158" s="59"/>
      <c r="I158" s="59"/>
    </row>
    <row r="159" spans="4:9" ht="15" x14ac:dyDescent="0.3">
      <c r="D159" s="2" t="s">
        <v>45</v>
      </c>
      <c r="E159" s="2" t="s">
        <v>44</v>
      </c>
      <c r="F159" s="3">
        <v>30</v>
      </c>
      <c r="G159" s="3">
        <v>520</v>
      </c>
      <c r="H159" s="2" t="s">
        <v>43</v>
      </c>
      <c r="I159" s="3">
        <f t="shared" ref="I159:I164" si="3">SUM(F159*G159)</f>
        <v>15600</v>
      </c>
    </row>
    <row r="160" spans="4:9" ht="15" x14ac:dyDescent="0.3">
      <c r="D160" s="2" t="s">
        <v>42</v>
      </c>
      <c r="E160" s="2" t="s">
        <v>41</v>
      </c>
      <c r="F160" s="3">
        <v>35</v>
      </c>
      <c r="G160" s="3">
        <v>50</v>
      </c>
      <c r="H160" s="2" t="s">
        <v>33</v>
      </c>
      <c r="I160" s="3">
        <f t="shared" si="3"/>
        <v>1750</v>
      </c>
    </row>
    <row r="161" spans="4:9" ht="15" x14ac:dyDescent="0.3">
      <c r="D161" s="2" t="s">
        <v>40</v>
      </c>
      <c r="E161" s="2" t="s">
        <v>60</v>
      </c>
      <c r="F161" s="3">
        <v>25</v>
      </c>
      <c r="G161" s="3">
        <v>100</v>
      </c>
      <c r="H161" s="2" t="s">
        <v>33</v>
      </c>
      <c r="I161" s="3">
        <f t="shared" si="3"/>
        <v>2500</v>
      </c>
    </row>
    <row r="162" spans="4:9" ht="15" x14ac:dyDescent="0.3">
      <c r="D162" s="2" t="s">
        <v>59</v>
      </c>
      <c r="E162" s="2" t="s">
        <v>58</v>
      </c>
      <c r="F162" s="3">
        <v>110</v>
      </c>
      <c r="G162" s="3">
        <v>180</v>
      </c>
      <c r="H162" s="2" t="s">
        <v>33</v>
      </c>
      <c r="I162" s="3">
        <f t="shared" si="3"/>
        <v>19800</v>
      </c>
    </row>
    <row r="163" spans="4:9" ht="15" x14ac:dyDescent="0.3">
      <c r="D163" s="2" t="s">
        <v>57</v>
      </c>
      <c r="E163" s="2" t="s">
        <v>96</v>
      </c>
      <c r="F163" s="9">
        <v>180</v>
      </c>
      <c r="G163" s="3">
        <v>90</v>
      </c>
      <c r="H163" s="2" t="s">
        <v>54</v>
      </c>
      <c r="I163" s="3">
        <f t="shared" si="3"/>
        <v>16200</v>
      </c>
    </row>
    <row r="164" spans="4:9" ht="15" x14ac:dyDescent="0.3">
      <c r="D164" s="2" t="s">
        <v>53</v>
      </c>
      <c r="E164" s="2" t="s">
        <v>52</v>
      </c>
      <c r="F164" s="9">
        <v>25</v>
      </c>
      <c r="G164" s="3">
        <v>200</v>
      </c>
      <c r="H164" s="2" t="s">
        <v>51</v>
      </c>
      <c r="I164" s="3">
        <f t="shared" si="3"/>
        <v>5000</v>
      </c>
    </row>
    <row r="165" spans="4:9" ht="15.6" x14ac:dyDescent="0.3">
      <c r="D165" s="2"/>
      <c r="E165" s="2"/>
      <c r="F165" s="5" t="s">
        <v>37</v>
      </c>
      <c r="G165" s="3"/>
      <c r="H165" s="2"/>
      <c r="I165" s="5">
        <f>I164+I163+I162+I161+I160+I159</f>
        <v>60850</v>
      </c>
    </row>
    <row r="166" spans="4:9" ht="15.6" x14ac:dyDescent="0.3">
      <c r="D166" s="4">
        <v>8</v>
      </c>
      <c r="E166" s="19" t="s">
        <v>50</v>
      </c>
      <c r="F166" s="37"/>
      <c r="G166" s="38"/>
      <c r="H166" s="38"/>
      <c r="I166" s="39"/>
    </row>
    <row r="167" spans="4:9" ht="15.6" x14ac:dyDescent="0.3">
      <c r="D167" s="4"/>
      <c r="E167" s="19" t="s">
        <v>49</v>
      </c>
      <c r="F167" s="40"/>
      <c r="G167" s="41"/>
      <c r="H167" s="41"/>
      <c r="I167" s="42"/>
    </row>
    <row r="168" spans="4:9" ht="15.6" x14ac:dyDescent="0.3">
      <c r="D168" s="4"/>
      <c r="E168" s="19" t="s">
        <v>48</v>
      </c>
      <c r="F168" s="43"/>
      <c r="G168" s="44"/>
      <c r="H168" s="44"/>
      <c r="I168" s="45"/>
    </row>
    <row r="169" spans="4:9" ht="15" x14ac:dyDescent="0.3">
      <c r="D169" s="2" t="s">
        <v>45</v>
      </c>
      <c r="E169" s="2" t="s">
        <v>44</v>
      </c>
      <c r="F169" s="3">
        <v>90</v>
      </c>
      <c r="G169" s="3">
        <v>520</v>
      </c>
      <c r="H169" s="2" t="s">
        <v>43</v>
      </c>
      <c r="I169" s="3">
        <f>SUM(F169*G169)</f>
        <v>46800</v>
      </c>
    </row>
    <row r="170" spans="4:9" ht="15" x14ac:dyDescent="0.3">
      <c r="D170" s="2" t="s">
        <v>42</v>
      </c>
      <c r="E170" s="2" t="s">
        <v>41</v>
      </c>
      <c r="F170" s="3">
        <v>600</v>
      </c>
      <c r="G170" s="3">
        <v>50</v>
      </c>
      <c r="H170" s="2" t="s">
        <v>33</v>
      </c>
      <c r="I170" s="3">
        <f>SUM(F170*G170)</f>
        <v>30000</v>
      </c>
    </row>
    <row r="171" spans="4:9" ht="15.6" x14ac:dyDescent="0.3">
      <c r="D171" s="2"/>
      <c r="E171" s="2"/>
      <c r="F171" s="5" t="s">
        <v>37</v>
      </c>
      <c r="G171" s="3"/>
      <c r="H171" s="2"/>
      <c r="I171" s="5">
        <f>I169+I170</f>
        <v>76800</v>
      </c>
    </row>
    <row r="172" spans="4:9" ht="15.6" x14ac:dyDescent="0.3">
      <c r="D172" s="4">
        <v>9</v>
      </c>
      <c r="E172" s="19" t="s">
        <v>47</v>
      </c>
      <c r="F172" s="59"/>
      <c r="G172" s="59"/>
      <c r="H172" s="59"/>
      <c r="I172" s="59"/>
    </row>
    <row r="173" spans="4:9" ht="15.6" x14ac:dyDescent="0.3">
      <c r="D173" s="4"/>
      <c r="E173" s="19" t="s">
        <v>46</v>
      </c>
      <c r="F173" s="59"/>
      <c r="G173" s="59"/>
      <c r="H173" s="59"/>
      <c r="I173" s="59"/>
    </row>
    <row r="174" spans="4:9" ht="15" x14ac:dyDescent="0.3">
      <c r="D174" s="2" t="s">
        <v>45</v>
      </c>
      <c r="E174" s="2" t="s">
        <v>44</v>
      </c>
      <c r="F174" s="3">
        <v>150</v>
      </c>
      <c r="G174" s="3">
        <v>520</v>
      </c>
      <c r="H174" s="2" t="s">
        <v>43</v>
      </c>
      <c r="I174" s="3">
        <f>SUM(F174*G174)</f>
        <v>78000</v>
      </c>
    </row>
    <row r="175" spans="4:9" ht="15" x14ac:dyDescent="0.3">
      <c r="D175" s="2" t="s">
        <v>42</v>
      </c>
      <c r="E175" s="2" t="s">
        <v>41</v>
      </c>
      <c r="F175" s="3">
        <v>1000</v>
      </c>
      <c r="G175" s="3">
        <v>50</v>
      </c>
      <c r="H175" s="2" t="s">
        <v>33</v>
      </c>
      <c r="I175" s="3">
        <f>SUM(F175*G175)</f>
        <v>50000</v>
      </c>
    </row>
    <row r="176" spans="4:9" ht="15" x14ac:dyDescent="0.3">
      <c r="D176" s="2" t="s">
        <v>40</v>
      </c>
      <c r="E176" s="2" t="s">
        <v>39</v>
      </c>
      <c r="F176" s="3">
        <v>25000</v>
      </c>
      <c r="G176" s="3">
        <v>10</v>
      </c>
      <c r="H176" s="2" t="s">
        <v>38</v>
      </c>
      <c r="I176" s="3">
        <f>SUM(F176*G176)</f>
        <v>250000</v>
      </c>
    </row>
    <row r="177" spans="2:9" ht="15.6" x14ac:dyDescent="0.3">
      <c r="D177" s="2"/>
      <c r="E177" s="2"/>
      <c r="F177" s="5" t="s">
        <v>37</v>
      </c>
      <c r="G177" s="3"/>
      <c r="H177" s="2"/>
      <c r="I177" s="5">
        <f>I176+I175+I174</f>
        <v>378000</v>
      </c>
    </row>
    <row r="178" spans="2:9" ht="15.6" x14ac:dyDescent="0.3">
      <c r="D178" s="4">
        <v>10</v>
      </c>
      <c r="E178" s="19" t="s">
        <v>36</v>
      </c>
      <c r="F178" s="3">
        <v>750</v>
      </c>
      <c r="G178" s="3">
        <v>150</v>
      </c>
      <c r="H178" s="2" t="s">
        <v>1</v>
      </c>
      <c r="I178" s="3">
        <f t="shared" ref="I178:I184" si="4">SUM(F178*G178)</f>
        <v>112500</v>
      </c>
    </row>
    <row r="179" spans="2:9" ht="15.6" x14ac:dyDescent="0.3">
      <c r="D179" s="4">
        <v>11</v>
      </c>
      <c r="E179" s="19" t="s">
        <v>35</v>
      </c>
      <c r="F179" s="3">
        <v>70</v>
      </c>
      <c r="G179" s="3">
        <v>2500</v>
      </c>
      <c r="H179" s="2" t="s">
        <v>33</v>
      </c>
      <c r="I179" s="3">
        <f t="shared" si="4"/>
        <v>175000</v>
      </c>
    </row>
    <row r="180" spans="2:9" ht="15.6" x14ac:dyDescent="0.3">
      <c r="D180" s="4">
        <v>12</v>
      </c>
      <c r="E180" s="19" t="s">
        <v>34</v>
      </c>
      <c r="F180" s="3">
        <v>55</v>
      </c>
      <c r="G180" s="3">
        <v>2500</v>
      </c>
      <c r="H180" s="2" t="s">
        <v>33</v>
      </c>
      <c r="I180" s="3">
        <f t="shared" si="4"/>
        <v>137500</v>
      </c>
    </row>
    <row r="181" spans="2:9" ht="15.6" x14ac:dyDescent="0.3">
      <c r="D181" s="4">
        <v>13</v>
      </c>
      <c r="E181" s="19" t="s">
        <v>32</v>
      </c>
      <c r="F181" s="9">
        <v>12</v>
      </c>
      <c r="G181" s="3">
        <v>3000</v>
      </c>
      <c r="H181" s="2" t="s">
        <v>31</v>
      </c>
      <c r="I181" s="3">
        <f t="shared" si="4"/>
        <v>36000</v>
      </c>
    </row>
    <row r="182" spans="2:9" ht="15.6" x14ac:dyDescent="0.3">
      <c r="D182" s="4">
        <v>14</v>
      </c>
      <c r="E182" s="19" t="s">
        <v>30</v>
      </c>
      <c r="F182" s="3">
        <v>750</v>
      </c>
      <c r="G182" s="3">
        <v>260</v>
      </c>
      <c r="H182" s="2" t="s">
        <v>1</v>
      </c>
      <c r="I182" s="3">
        <f t="shared" si="4"/>
        <v>195000</v>
      </c>
    </row>
    <row r="183" spans="2:9" ht="15.6" x14ac:dyDescent="0.3">
      <c r="D183" s="4">
        <v>15</v>
      </c>
      <c r="E183" s="19" t="s">
        <v>29</v>
      </c>
      <c r="F183" s="3">
        <v>8000</v>
      </c>
      <c r="G183" s="3">
        <v>12</v>
      </c>
      <c r="H183" s="2" t="s">
        <v>1</v>
      </c>
      <c r="I183" s="3">
        <f t="shared" si="4"/>
        <v>96000</v>
      </c>
    </row>
    <row r="184" spans="2:9" ht="15.6" x14ac:dyDescent="0.3">
      <c r="D184" s="4">
        <v>16</v>
      </c>
      <c r="E184" s="19" t="s">
        <v>28</v>
      </c>
      <c r="F184" s="3">
        <v>7000</v>
      </c>
      <c r="G184" s="3">
        <v>7</v>
      </c>
      <c r="H184" s="2" t="s">
        <v>1</v>
      </c>
      <c r="I184" s="3">
        <f t="shared" si="4"/>
        <v>49000</v>
      </c>
    </row>
    <row r="185" spans="2:9" ht="15.6" x14ac:dyDescent="0.3">
      <c r="D185" s="4">
        <v>17</v>
      </c>
      <c r="E185" s="19" t="s">
        <v>27</v>
      </c>
      <c r="F185" s="3"/>
      <c r="G185" s="3"/>
      <c r="H185" s="2"/>
      <c r="I185" s="3">
        <v>800000</v>
      </c>
    </row>
    <row r="186" spans="2:9" ht="15.6" x14ac:dyDescent="0.3">
      <c r="D186" s="4">
        <v>18</v>
      </c>
      <c r="E186" s="19" t="s">
        <v>26</v>
      </c>
      <c r="F186" s="3"/>
      <c r="G186" s="3"/>
      <c r="H186" s="2"/>
      <c r="I186" s="3">
        <v>500000</v>
      </c>
    </row>
    <row r="187" spans="2:9" ht="15.6" x14ac:dyDescent="0.3">
      <c r="D187" s="4">
        <v>19</v>
      </c>
      <c r="E187" s="19" t="s">
        <v>25</v>
      </c>
      <c r="F187" s="5"/>
      <c r="G187" s="3"/>
      <c r="H187" s="2"/>
      <c r="I187" s="5">
        <v>1000000</v>
      </c>
    </row>
    <row r="188" spans="2:9" ht="15.6" x14ac:dyDescent="0.3">
      <c r="D188" s="2"/>
      <c r="E188" s="19" t="s">
        <v>24</v>
      </c>
      <c r="F188" s="5"/>
      <c r="G188" s="3"/>
      <c r="H188" s="2"/>
      <c r="I188" s="5">
        <f>I187+I186+I185+I184+I183+I182+I181+I180+I179+I178+I177+I171+I165+I155+I147+I139+I131+I130</f>
        <v>5910700</v>
      </c>
    </row>
    <row r="189" spans="2:9" ht="15.6" x14ac:dyDescent="0.3">
      <c r="D189" s="8"/>
      <c r="E189" s="11"/>
      <c r="F189" s="7"/>
      <c r="G189" s="12"/>
      <c r="H189" s="8"/>
      <c r="I189" s="7"/>
    </row>
    <row r="190" spans="2:9" ht="15.6" customHeight="1" x14ac:dyDescent="0.3">
      <c r="D190" s="36" t="s">
        <v>23</v>
      </c>
      <c r="E190" s="36"/>
      <c r="F190" s="36"/>
      <c r="G190" s="36"/>
      <c r="H190" s="36"/>
      <c r="I190" s="36"/>
    </row>
    <row r="191" spans="2:9" ht="15.6" customHeight="1" x14ac:dyDescent="0.3">
      <c r="D191" s="36"/>
      <c r="E191" s="36"/>
      <c r="F191" s="36"/>
      <c r="G191" s="36"/>
      <c r="H191" s="36"/>
      <c r="I191" s="36"/>
    </row>
    <row r="192" spans="2:9" ht="15.6" customHeight="1" x14ac:dyDescent="0.3">
      <c r="B192" s="25"/>
      <c r="C192" s="25"/>
      <c r="D192" s="36"/>
      <c r="E192" s="36"/>
      <c r="F192" s="36"/>
      <c r="G192" s="36"/>
      <c r="H192" s="36"/>
      <c r="I192" s="36"/>
    </row>
    <row r="193" spans="4:9" ht="15.6" x14ac:dyDescent="0.3">
      <c r="D193" s="4" t="s">
        <v>22</v>
      </c>
      <c r="E193" s="4" t="s">
        <v>21</v>
      </c>
      <c r="F193" s="4"/>
      <c r="G193" s="4"/>
      <c r="H193" s="4"/>
      <c r="I193" s="4" t="s">
        <v>20</v>
      </c>
    </row>
    <row r="194" spans="4:9" ht="15.6" x14ac:dyDescent="0.3">
      <c r="D194" s="4">
        <v>1</v>
      </c>
      <c r="E194" s="19" t="s">
        <v>19</v>
      </c>
      <c r="F194" s="4"/>
      <c r="G194" s="4"/>
      <c r="H194" s="4"/>
      <c r="I194" s="5">
        <f>I60</f>
        <v>16031700</v>
      </c>
    </row>
    <row r="195" spans="4:9" ht="15.6" x14ac:dyDescent="0.3">
      <c r="D195" s="4">
        <v>3</v>
      </c>
      <c r="E195" s="19" t="s">
        <v>18</v>
      </c>
      <c r="F195" s="5"/>
      <c r="G195" s="4"/>
      <c r="H195" s="4"/>
      <c r="I195" s="5">
        <f>I124</f>
        <v>3589270</v>
      </c>
    </row>
    <row r="196" spans="4:9" ht="15.6" x14ac:dyDescent="0.3">
      <c r="D196" s="4">
        <v>4</v>
      </c>
      <c r="E196" s="19" t="s">
        <v>17</v>
      </c>
      <c r="F196" s="5">
        <f>I188</f>
        <v>5910700</v>
      </c>
      <c r="G196" s="2"/>
      <c r="H196" s="4">
        <v>9</v>
      </c>
      <c r="I196" s="5">
        <f>F196*H196</f>
        <v>53196300</v>
      </c>
    </row>
    <row r="197" spans="4:9" ht="15.6" x14ac:dyDescent="0.3">
      <c r="D197" s="4">
        <v>5</v>
      </c>
      <c r="E197" s="19" t="s">
        <v>16</v>
      </c>
      <c r="F197" s="3"/>
      <c r="G197" s="2"/>
      <c r="H197" s="2"/>
      <c r="I197" s="5">
        <v>5000000</v>
      </c>
    </row>
    <row r="198" spans="4:9" ht="15.6" x14ac:dyDescent="0.3">
      <c r="D198" s="4">
        <v>6</v>
      </c>
      <c r="E198" s="19" t="s">
        <v>15</v>
      </c>
      <c r="F198" s="4"/>
      <c r="G198" s="4"/>
      <c r="H198" s="4"/>
      <c r="I198" s="5">
        <f>I197+I196+I195+I194</f>
        <v>77817270</v>
      </c>
    </row>
    <row r="199" spans="4:9" ht="15.6" x14ac:dyDescent="0.3">
      <c r="D199" s="4">
        <v>7</v>
      </c>
      <c r="E199" s="19" t="s">
        <v>14</v>
      </c>
      <c r="F199" s="4"/>
      <c r="G199" s="4"/>
      <c r="H199" s="4"/>
      <c r="I199" s="5">
        <f>I198*0.05</f>
        <v>3890863.5</v>
      </c>
    </row>
    <row r="200" spans="4:9" ht="15.6" x14ac:dyDescent="0.3">
      <c r="D200" s="4"/>
      <c r="E200" s="19" t="s">
        <v>13</v>
      </c>
      <c r="F200" s="4"/>
      <c r="G200" s="4"/>
      <c r="H200" s="4"/>
      <c r="I200" s="5">
        <f>I199+I198</f>
        <v>81708133.5</v>
      </c>
    </row>
  </sheetData>
  <mergeCells count="23">
    <mergeCell ref="D31:D32"/>
    <mergeCell ref="D39:D42"/>
    <mergeCell ref="D47:D51"/>
    <mergeCell ref="E5:G8"/>
    <mergeCell ref="D25:I26"/>
    <mergeCell ref="F39:I42"/>
    <mergeCell ref="F47:I51"/>
    <mergeCell ref="F31:I32"/>
    <mergeCell ref="D62:I64"/>
    <mergeCell ref="D126:I128"/>
    <mergeCell ref="D190:I192"/>
    <mergeCell ref="F101:I103"/>
    <mergeCell ref="F166:I168"/>
    <mergeCell ref="F107:I108"/>
    <mergeCell ref="F132:I133"/>
    <mergeCell ref="F68:I69"/>
    <mergeCell ref="F76:I77"/>
    <mergeCell ref="F140:I141"/>
    <mergeCell ref="F84:I85"/>
    <mergeCell ref="F92:I93"/>
    <mergeCell ref="F148:I149"/>
    <mergeCell ref="F157:I158"/>
    <mergeCell ref="F172:I173"/>
  </mergeCells>
  <pageMargins left="0.7" right="0.7" top="0.75" bottom="0.75" header="0.3" footer="0.3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2026-02-13T06:24:02Z</dcterms:created>
  <dcterms:modified xsi:type="dcterms:W3CDTF">2026-03-16T04:13:03Z</dcterms:modified>
</cp:coreProperties>
</file>