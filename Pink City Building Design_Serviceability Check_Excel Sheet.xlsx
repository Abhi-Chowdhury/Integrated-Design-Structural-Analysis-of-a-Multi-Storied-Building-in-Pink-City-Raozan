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 file\"/>
    </mc:Choice>
  </mc:AlternateContent>
  <xr:revisionPtr revIDLastSave="0" documentId="13_ncr:1_{08BADB14-D623-43DC-922C-C5FD9495ABC4}" xr6:coauthVersionLast="43" xr6:coauthVersionMax="43" xr10:uidLastSave="{00000000-0000-0000-0000-000000000000}"/>
  <bookViews>
    <workbookView xWindow="-108" yWindow="-108" windowWidth="23256" windowHeight="12576" firstSheet="2" activeTab="6" xr2:uid="{0EAF59DB-DE9A-4876-9034-C0CFBE85FD7B}"/>
  </bookViews>
  <sheets>
    <sheet name="Site Classification" sheetId="1" r:id="rId1"/>
    <sheet name="Story Displacement Check" sheetId="9" r:id="rId2"/>
    <sheet name="Drift Check" sheetId="10" r:id="rId3"/>
    <sheet name="Drift Ratio Check" sheetId="11" r:id="rId4"/>
    <sheet name="Stiffness Irregularity Check" sheetId="12" r:id="rId5"/>
    <sheet name="Torsional Irregularity Check" sheetId="13" r:id="rId6"/>
    <sheet name="P Delta Check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71" i="1" l="1"/>
  <c r="H171" i="1" s="1"/>
  <c r="H183" i="1" s="1"/>
  <c r="F172" i="1"/>
  <c r="H172" i="1"/>
  <c r="F173" i="1"/>
  <c r="F183" i="1" s="1"/>
  <c r="H173" i="1"/>
  <c r="F174" i="1"/>
  <c r="H174" i="1" s="1"/>
  <c r="F175" i="1"/>
  <c r="H175" i="1" s="1"/>
  <c r="F176" i="1"/>
  <c r="H176" i="1"/>
  <c r="F177" i="1"/>
  <c r="H177" i="1"/>
  <c r="F178" i="1"/>
  <c r="H178" i="1" s="1"/>
  <c r="F179" i="1"/>
  <c r="H179" i="1" s="1"/>
  <c r="F180" i="1"/>
  <c r="H180" i="1"/>
  <c r="F181" i="1"/>
  <c r="H181" i="1"/>
  <c r="F182" i="1"/>
  <c r="H182" i="1" s="1"/>
  <c r="F144" i="1"/>
  <c r="H144" i="1" s="1"/>
  <c r="F145" i="1"/>
  <c r="F146" i="1"/>
  <c r="H146" i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H153" i="1" s="1"/>
  <c r="F154" i="1"/>
  <c r="H154" i="1" s="1"/>
  <c r="F155" i="1"/>
  <c r="H155" i="1" s="1"/>
  <c r="F117" i="1"/>
  <c r="H117" i="1" s="1"/>
  <c r="F118" i="1"/>
  <c r="H118" i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/>
  <c r="F125" i="1"/>
  <c r="H125" i="1" s="1"/>
  <c r="F126" i="1"/>
  <c r="H126" i="1" s="1"/>
  <c r="F127" i="1"/>
  <c r="H127" i="1" s="1"/>
  <c r="F128" i="1"/>
  <c r="H128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/>
  <c r="F96" i="1"/>
  <c r="H96" i="1" s="1"/>
  <c r="F97" i="1"/>
  <c r="H97" i="1" s="1"/>
  <c r="F98" i="1"/>
  <c r="H98" i="1" s="1"/>
  <c r="F99" i="1"/>
  <c r="H99" i="1" s="1"/>
  <c r="F100" i="1"/>
  <c r="H100" i="1"/>
  <c r="F101" i="1"/>
  <c r="H101" i="1" s="1"/>
  <c r="F74" i="1"/>
  <c r="H74" i="1" s="1"/>
  <c r="F73" i="1"/>
  <c r="H73" i="1" s="1"/>
  <c r="F72" i="1"/>
  <c r="H72" i="1" s="1"/>
  <c r="F71" i="1"/>
  <c r="H71" i="1" s="1"/>
  <c r="F70" i="1"/>
  <c r="H70" i="1" s="1"/>
  <c r="F69" i="1"/>
  <c r="H69" i="1" s="1"/>
  <c r="F68" i="1"/>
  <c r="H68" i="1" s="1"/>
  <c r="F67" i="1"/>
  <c r="H67" i="1" s="1"/>
  <c r="F66" i="1"/>
  <c r="H66" i="1" s="1"/>
  <c r="F65" i="1"/>
  <c r="H65" i="1" s="1"/>
  <c r="F64" i="1"/>
  <c r="H64" i="1" s="1"/>
  <c r="F63" i="1"/>
  <c r="H63" i="1" s="1"/>
  <c r="F47" i="1"/>
  <c r="H47" i="1" s="1"/>
  <c r="F46" i="1"/>
  <c r="H46" i="1" s="1"/>
  <c r="F45" i="1"/>
  <c r="H45" i="1" s="1"/>
  <c r="F44" i="1"/>
  <c r="H44" i="1" s="1"/>
  <c r="F43" i="1"/>
  <c r="H43" i="1" s="1"/>
  <c r="F42" i="1"/>
  <c r="H42" i="1" s="1"/>
  <c r="F41" i="1"/>
  <c r="H41" i="1" s="1"/>
  <c r="F40" i="1"/>
  <c r="H40" i="1" s="1"/>
  <c r="F39" i="1"/>
  <c r="H39" i="1" s="1"/>
  <c r="F38" i="1"/>
  <c r="H38" i="1" s="1"/>
  <c r="F37" i="1"/>
  <c r="H37" i="1" s="1"/>
  <c r="F36" i="1"/>
  <c r="H36" i="1" s="1"/>
  <c r="J170" i="1" l="1"/>
  <c r="F156" i="1"/>
  <c r="F129" i="1"/>
  <c r="J116" i="1" s="1"/>
  <c r="H145" i="1"/>
  <c r="H156" i="1" s="1"/>
  <c r="J143" i="1" s="1"/>
  <c r="H129" i="1"/>
  <c r="F102" i="1"/>
  <c r="H102" i="1"/>
  <c r="H48" i="1"/>
  <c r="H75" i="1"/>
  <c r="F75" i="1"/>
  <c r="F48" i="1"/>
  <c r="J35" i="1" s="1"/>
  <c r="L10" i="13"/>
  <c r="N10" i="13"/>
  <c r="J62" i="1" l="1"/>
  <c r="J89" i="1"/>
  <c r="L11" i="13"/>
  <c r="N11" i="13"/>
  <c r="K109" i="10" l="1"/>
  <c r="K121" i="10"/>
  <c r="K120" i="10"/>
  <c r="K119" i="10"/>
  <c r="M119" i="10" s="1"/>
  <c r="K118" i="10"/>
  <c r="K117" i="10"/>
  <c r="K116" i="10"/>
  <c r="K115" i="10"/>
  <c r="M115" i="10" s="1"/>
  <c r="K114" i="10"/>
  <c r="K113" i="10"/>
  <c r="K112" i="10"/>
  <c r="M112" i="10" s="1"/>
  <c r="K111" i="10"/>
  <c r="M111" i="10" s="1"/>
  <c r="K110" i="10"/>
  <c r="M121" i="10"/>
  <c r="I121" i="10"/>
  <c r="F121" i="10"/>
  <c r="M120" i="10"/>
  <c r="I120" i="10"/>
  <c r="F120" i="10"/>
  <c r="I119" i="10"/>
  <c r="F119" i="10"/>
  <c r="M118" i="10"/>
  <c r="I118" i="10"/>
  <c r="F118" i="10"/>
  <c r="I117" i="10"/>
  <c r="F117" i="10"/>
  <c r="M117" i="10" s="1"/>
  <c r="M116" i="10"/>
  <c r="I116" i="10"/>
  <c r="F116" i="10"/>
  <c r="I115" i="10"/>
  <c r="F115" i="10"/>
  <c r="M114" i="10"/>
  <c r="I114" i="10"/>
  <c r="F114" i="10"/>
  <c r="M113" i="10"/>
  <c r="I113" i="10"/>
  <c r="F113" i="10"/>
  <c r="I112" i="10"/>
  <c r="F112" i="10"/>
  <c r="I111" i="10"/>
  <c r="F111" i="10"/>
  <c r="M110" i="10"/>
  <c r="I110" i="10"/>
  <c r="F110" i="10"/>
  <c r="M109" i="10"/>
  <c r="I109" i="10"/>
  <c r="F109" i="10"/>
  <c r="O97" i="10"/>
  <c r="O98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90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X91" i="10"/>
  <c r="X92" i="10" s="1"/>
  <c r="X93" i="10" s="1"/>
  <c r="I91" i="10"/>
  <c r="O91" i="10" s="1"/>
  <c r="I92" i="10"/>
  <c r="O92" i="10" s="1"/>
  <c r="I93" i="10"/>
  <c r="O93" i="10" s="1"/>
  <c r="I94" i="10"/>
  <c r="O94" i="10" s="1"/>
  <c r="I95" i="10"/>
  <c r="O95" i="10" s="1"/>
  <c r="I96" i="10"/>
  <c r="O96" i="10" s="1"/>
  <c r="I97" i="10"/>
  <c r="I98" i="10"/>
  <c r="I99" i="10"/>
  <c r="O99" i="10" s="1"/>
  <c r="I100" i="10"/>
  <c r="O100" i="10" s="1"/>
  <c r="I101" i="10"/>
  <c r="O101" i="10" s="1"/>
  <c r="I102" i="10"/>
  <c r="I90" i="10"/>
  <c r="O90" i="10" s="1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O117" i="10" l="1"/>
  <c r="O111" i="10"/>
  <c r="O109" i="10"/>
  <c r="O114" i="10"/>
  <c r="O119" i="10"/>
  <c r="O112" i="10"/>
  <c r="O115" i="10"/>
  <c r="O120" i="10"/>
  <c r="O110" i="10"/>
  <c r="O113" i="10"/>
  <c r="O118" i="10"/>
  <c r="O116" i="10"/>
  <c r="H31" i="14"/>
  <c r="I31" i="14" s="1"/>
  <c r="N31" i="14" s="1"/>
  <c r="M31" i="14"/>
  <c r="H32" i="14"/>
  <c r="I32" i="14" s="1"/>
  <c r="N32" i="14" s="1"/>
  <c r="M32" i="14"/>
  <c r="H33" i="14"/>
  <c r="I33" i="14" s="1"/>
  <c r="N33" i="14" s="1"/>
  <c r="M33" i="14"/>
  <c r="H34" i="14"/>
  <c r="I34" i="14" s="1"/>
  <c r="N34" i="14" s="1"/>
  <c r="M34" i="14"/>
  <c r="H35" i="14"/>
  <c r="I35" i="14" s="1"/>
  <c r="N35" i="14" s="1"/>
  <c r="M35" i="14"/>
  <c r="H36" i="14"/>
  <c r="I36" i="14" s="1"/>
  <c r="N36" i="14" s="1"/>
  <c r="M36" i="14"/>
  <c r="H37" i="14"/>
  <c r="I37" i="14" s="1"/>
  <c r="N37" i="14" s="1"/>
  <c r="M37" i="14"/>
  <c r="H38" i="14"/>
  <c r="I38" i="14" s="1"/>
  <c r="N38" i="14" s="1"/>
  <c r="M38" i="14"/>
  <c r="H39" i="14"/>
  <c r="I39" i="14" s="1"/>
  <c r="N39" i="14" s="1"/>
  <c r="M39" i="14"/>
  <c r="H40" i="14"/>
  <c r="I40" i="14" s="1"/>
  <c r="N40" i="14" s="1"/>
  <c r="M40" i="14"/>
  <c r="H41" i="14"/>
  <c r="I41" i="14" s="1"/>
  <c r="N41" i="14" s="1"/>
  <c r="M41" i="14"/>
  <c r="H42" i="14"/>
  <c r="I42" i="14" s="1"/>
  <c r="N42" i="14" s="1"/>
  <c r="M42" i="14"/>
  <c r="H43" i="14"/>
  <c r="M43" i="14"/>
  <c r="N43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N24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12" i="14"/>
  <c r="H13" i="14"/>
  <c r="I13" i="14" s="1"/>
  <c r="N13" i="14" s="1"/>
  <c r="H14" i="14"/>
  <c r="I14" i="14" s="1"/>
  <c r="N14" i="14" s="1"/>
  <c r="H15" i="14"/>
  <c r="I15" i="14" s="1"/>
  <c r="N15" i="14" s="1"/>
  <c r="H16" i="14"/>
  <c r="I16" i="14" s="1"/>
  <c r="N16" i="14" s="1"/>
  <c r="H17" i="14"/>
  <c r="I17" i="14" s="1"/>
  <c r="N17" i="14" s="1"/>
  <c r="H18" i="14"/>
  <c r="I18" i="14" s="1"/>
  <c r="N18" i="14" s="1"/>
  <c r="H19" i="14"/>
  <c r="I19" i="14" s="1"/>
  <c r="N19" i="14" s="1"/>
  <c r="H20" i="14"/>
  <c r="I20" i="14" s="1"/>
  <c r="N20" i="14" s="1"/>
  <c r="H21" i="14"/>
  <c r="I21" i="14" s="1"/>
  <c r="N21" i="14" s="1"/>
  <c r="H22" i="14"/>
  <c r="I22" i="14" s="1"/>
  <c r="N22" i="14" s="1"/>
  <c r="H23" i="14"/>
  <c r="I23" i="14" s="1"/>
  <c r="N23" i="14" s="1"/>
  <c r="H24" i="14"/>
  <c r="H12" i="14"/>
  <c r="I12" i="14" s="1"/>
  <c r="N12" i="14" s="1"/>
  <c r="D13" i="14"/>
  <c r="D14" i="14"/>
  <c r="D15" i="14"/>
  <c r="D16" i="14"/>
  <c r="D17" i="14"/>
  <c r="D18" i="14"/>
  <c r="D19" i="14"/>
  <c r="D20" i="14"/>
  <c r="D21" i="14"/>
  <c r="D22" i="14"/>
  <c r="D23" i="14"/>
  <c r="D24" i="14"/>
  <c r="D12" i="14"/>
  <c r="R49" i="13"/>
  <c r="R52" i="13"/>
  <c r="R53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41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20" i="13"/>
  <c r="G31" i="13"/>
  <c r="G32" i="13"/>
  <c r="Q53" i="13"/>
  <c r="Q52" i="13"/>
  <c r="P51" i="13"/>
  <c r="R51" i="13" s="1"/>
  <c r="P50" i="13"/>
  <c r="Q50" i="13" s="1"/>
  <c r="P49" i="13"/>
  <c r="Q49" i="13" s="1"/>
  <c r="P48" i="13"/>
  <c r="R48" i="13" s="1"/>
  <c r="P47" i="13"/>
  <c r="R47" i="13" s="1"/>
  <c r="P46" i="13"/>
  <c r="R46" i="13" s="1"/>
  <c r="P45" i="13"/>
  <c r="R45" i="13" s="1"/>
  <c r="P44" i="13"/>
  <c r="R44" i="13" s="1"/>
  <c r="P43" i="13"/>
  <c r="Q43" i="13" s="1"/>
  <c r="P42" i="13"/>
  <c r="Q42" i="13" s="1"/>
  <c r="P41" i="13"/>
  <c r="R41" i="13" s="1"/>
  <c r="F53" i="13"/>
  <c r="F52" i="13"/>
  <c r="E51" i="13"/>
  <c r="E50" i="13"/>
  <c r="F50" i="13" s="1"/>
  <c r="E49" i="13"/>
  <c r="F49" i="13" s="1"/>
  <c r="E48" i="13"/>
  <c r="F48" i="13" s="1"/>
  <c r="E47" i="13"/>
  <c r="E46" i="13"/>
  <c r="F46" i="13" s="1"/>
  <c r="E45" i="13"/>
  <c r="E44" i="13"/>
  <c r="E43" i="13"/>
  <c r="E42" i="13"/>
  <c r="F42" i="13" s="1"/>
  <c r="E41" i="13"/>
  <c r="Q32" i="13"/>
  <c r="Q31" i="13"/>
  <c r="P30" i="13"/>
  <c r="Q30" i="13" s="1"/>
  <c r="P29" i="13"/>
  <c r="Q29" i="13" s="1"/>
  <c r="P28" i="13"/>
  <c r="P27" i="13"/>
  <c r="P26" i="13"/>
  <c r="P25" i="13"/>
  <c r="P24" i="13"/>
  <c r="P23" i="13"/>
  <c r="P22" i="13"/>
  <c r="P21" i="13"/>
  <c r="Q21" i="13" s="1"/>
  <c r="P20" i="13"/>
  <c r="F32" i="13"/>
  <c r="F31" i="13"/>
  <c r="E21" i="13"/>
  <c r="G21" i="13" s="1"/>
  <c r="E22" i="13"/>
  <c r="F22" i="13" s="1"/>
  <c r="E23" i="13"/>
  <c r="G23" i="13" s="1"/>
  <c r="E24" i="13"/>
  <c r="F24" i="13" s="1"/>
  <c r="E25" i="13"/>
  <c r="F25" i="13" s="1"/>
  <c r="E26" i="13"/>
  <c r="F26" i="13" s="1"/>
  <c r="E27" i="13"/>
  <c r="F27" i="13" s="1"/>
  <c r="E28" i="13"/>
  <c r="G28" i="13" s="1"/>
  <c r="E29" i="13"/>
  <c r="F29" i="13" s="1"/>
  <c r="E30" i="13"/>
  <c r="G30" i="13" s="1"/>
  <c r="E20" i="13"/>
  <c r="F20" i="13" s="1"/>
  <c r="R11" i="13"/>
  <c r="R43" i="13" l="1"/>
  <c r="R42" i="13"/>
  <c r="S41" i="13" s="1"/>
  <c r="R50" i="13"/>
  <c r="G25" i="13"/>
  <c r="G26" i="13"/>
  <c r="G24" i="13"/>
  <c r="G29" i="13"/>
  <c r="F23" i="13"/>
  <c r="G20" i="13"/>
  <c r="F30" i="13"/>
  <c r="G22" i="13"/>
  <c r="G27" i="13"/>
  <c r="P11" i="13"/>
  <c r="T11" i="13" s="1"/>
  <c r="R10" i="13"/>
  <c r="P10" i="13"/>
  <c r="Q47" i="13"/>
  <c r="Q45" i="13"/>
  <c r="Q51" i="13"/>
  <c r="Q44" i="13"/>
  <c r="Q48" i="13"/>
  <c r="Q41" i="13"/>
  <c r="Q46" i="13"/>
  <c r="F47" i="13"/>
  <c r="F45" i="13"/>
  <c r="F51" i="13"/>
  <c r="F41" i="13"/>
  <c r="F44" i="13"/>
  <c r="F43" i="13"/>
  <c r="Q26" i="13"/>
  <c r="Q24" i="13"/>
  <c r="Q27" i="13"/>
  <c r="Q22" i="13"/>
  <c r="Q20" i="13"/>
  <c r="Q25" i="13"/>
  <c r="S20" i="13"/>
  <c r="Q28" i="13"/>
  <c r="Q23" i="13"/>
  <c r="F21" i="13"/>
  <c r="F28" i="13"/>
  <c r="O42" i="12"/>
  <c r="Q44" i="12" s="1"/>
  <c r="F42" i="12"/>
  <c r="I44" i="12" s="1"/>
  <c r="K44" i="12" s="1"/>
  <c r="O41" i="12"/>
  <c r="F41" i="12"/>
  <c r="O40" i="12"/>
  <c r="F40" i="12"/>
  <c r="G41" i="12" s="1"/>
  <c r="O39" i="12"/>
  <c r="P40" i="12" s="1"/>
  <c r="F39" i="12"/>
  <c r="O38" i="12"/>
  <c r="P39" i="12" s="1"/>
  <c r="F38" i="12"/>
  <c r="G39" i="12" s="1"/>
  <c r="O37" i="12"/>
  <c r="P38" i="12" s="1"/>
  <c r="F37" i="12"/>
  <c r="O36" i="12"/>
  <c r="P37" i="12" s="1"/>
  <c r="F36" i="12"/>
  <c r="G37" i="12" s="1"/>
  <c r="O35" i="12"/>
  <c r="P36" i="12" s="1"/>
  <c r="F35" i="12"/>
  <c r="G36" i="12" s="1"/>
  <c r="O34" i="12"/>
  <c r="F34" i="12"/>
  <c r="O33" i="12"/>
  <c r="P34" i="12" s="1"/>
  <c r="F33" i="12"/>
  <c r="G34" i="12" s="1"/>
  <c r="O32" i="12"/>
  <c r="P33" i="12" s="1"/>
  <c r="F32" i="12"/>
  <c r="G33" i="12" s="1"/>
  <c r="O31" i="12"/>
  <c r="P32" i="12" s="1"/>
  <c r="K31" i="12"/>
  <c r="F31" i="12"/>
  <c r="O30" i="12"/>
  <c r="P31" i="12" s="1"/>
  <c r="K30" i="12"/>
  <c r="F30" i="12"/>
  <c r="G31" i="12" s="1"/>
  <c r="O10" i="12"/>
  <c r="P11" i="12" s="1"/>
  <c r="O11" i="12"/>
  <c r="P12" i="12" s="1"/>
  <c r="O12" i="12"/>
  <c r="P13" i="12" s="1"/>
  <c r="O13" i="12"/>
  <c r="P14" i="12" s="1"/>
  <c r="O14" i="12"/>
  <c r="P15" i="12" s="1"/>
  <c r="O15" i="12"/>
  <c r="P16" i="12" s="1"/>
  <c r="O16" i="12"/>
  <c r="P17" i="12" s="1"/>
  <c r="O17" i="12"/>
  <c r="P18" i="12" s="1"/>
  <c r="O18" i="12"/>
  <c r="P19" i="12" s="1"/>
  <c r="O19" i="12"/>
  <c r="P20" i="12" s="1"/>
  <c r="O20" i="12"/>
  <c r="O21" i="12"/>
  <c r="Q23" i="12" s="1"/>
  <c r="O9" i="12"/>
  <c r="P10" i="12" s="1"/>
  <c r="K10" i="12"/>
  <c r="K9" i="12"/>
  <c r="F21" i="12"/>
  <c r="I23" i="12" s="1"/>
  <c r="K23" i="12" s="1"/>
  <c r="F10" i="12"/>
  <c r="G11" i="12" s="1"/>
  <c r="F11" i="12"/>
  <c r="F12" i="12"/>
  <c r="F13" i="12"/>
  <c r="G14" i="12" s="1"/>
  <c r="F14" i="12"/>
  <c r="G15" i="12" s="1"/>
  <c r="F15" i="12"/>
  <c r="F16" i="12"/>
  <c r="F17" i="12"/>
  <c r="G18" i="12" s="1"/>
  <c r="F18" i="12"/>
  <c r="G19" i="12" s="1"/>
  <c r="F19" i="12"/>
  <c r="G20" i="12" s="1"/>
  <c r="F20" i="12"/>
  <c r="F9" i="12"/>
  <c r="G10" i="12" s="1"/>
  <c r="M51" i="11"/>
  <c r="M52" i="11"/>
  <c r="M53" i="11"/>
  <c r="M54" i="11"/>
  <c r="M55" i="11"/>
  <c r="M56" i="11"/>
  <c r="M57" i="11"/>
  <c r="M58" i="11"/>
  <c r="M59" i="11"/>
  <c r="M60" i="11"/>
  <c r="M61" i="11"/>
  <c r="M62" i="11"/>
  <c r="M5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30" i="11"/>
  <c r="E82" i="11"/>
  <c r="M82" i="11" s="1"/>
  <c r="E81" i="11"/>
  <c r="M81" i="11" s="1"/>
  <c r="E80" i="11"/>
  <c r="M80" i="11" s="1"/>
  <c r="E79" i="11"/>
  <c r="M79" i="11" s="1"/>
  <c r="E78" i="11"/>
  <c r="M78" i="11" s="1"/>
  <c r="E77" i="11"/>
  <c r="M77" i="11" s="1"/>
  <c r="E76" i="11"/>
  <c r="M76" i="11" s="1"/>
  <c r="E75" i="11"/>
  <c r="M75" i="11" s="1"/>
  <c r="E74" i="11"/>
  <c r="M74" i="11" s="1"/>
  <c r="E73" i="11"/>
  <c r="M73" i="11" s="1"/>
  <c r="E72" i="11"/>
  <c r="M72" i="11" s="1"/>
  <c r="E71" i="11"/>
  <c r="M71" i="11" s="1"/>
  <c r="E70" i="11"/>
  <c r="M70" i="11" s="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10" i="11"/>
  <c r="M10" i="11" s="1"/>
  <c r="E22" i="11"/>
  <c r="M22" i="11" s="1"/>
  <c r="E21" i="11"/>
  <c r="M21" i="11" s="1"/>
  <c r="E20" i="11"/>
  <c r="M20" i="11" s="1"/>
  <c r="E19" i="11"/>
  <c r="M19" i="11" s="1"/>
  <c r="E18" i="11"/>
  <c r="M18" i="11" s="1"/>
  <c r="E17" i="11"/>
  <c r="M17" i="11" s="1"/>
  <c r="E16" i="11"/>
  <c r="M16" i="11" s="1"/>
  <c r="E15" i="11"/>
  <c r="M15" i="11" s="1"/>
  <c r="E14" i="11"/>
  <c r="M14" i="11" s="1"/>
  <c r="E13" i="11"/>
  <c r="M13" i="11" s="1"/>
  <c r="E12" i="11"/>
  <c r="M12" i="11" s="1"/>
  <c r="E11" i="11"/>
  <c r="M11" i="11" s="1"/>
  <c r="I80" i="10"/>
  <c r="O80" i="10" s="1"/>
  <c r="F80" i="10"/>
  <c r="S80" i="10" s="1"/>
  <c r="S79" i="10"/>
  <c r="I79" i="10"/>
  <c r="F79" i="10"/>
  <c r="I78" i="10"/>
  <c r="F78" i="10"/>
  <c r="S78" i="10" s="1"/>
  <c r="S77" i="10"/>
  <c r="I77" i="10"/>
  <c r="F77" i="10"/>
  <c r="I76" i="10"/>
  <c r="F76" i="10"/>
  <c r="S76" i="10" s="1"/>
  <c r="I75" i="10"/>
  <c r="F75" i="10"/>
  <c r="S75" i="10" s="1"/>
  <c r="S74" i="10"/>
  <c r="I74" i="10"/>
  <c r="F74" i="10"/>
  <c r="I73" i="10"/>
  <c r="F73" i="10"/>
  <c r="S73" i="10" s="1"/>
  <c r="I72" i="10"/>
  <c r="F72" i="10"/>
  <c r="S72" i="10" s="1"/>
  <c r="S71" i="10"/>
  <c r="I71" i="10"/>
  <c r="F71" i="10"/>
  <c r="I70" i="10"/>
  <c r="F70" i="10"/>
  <c r="S70" i="10" s="1"/>
  <c r="S69" i="10"/>
  <c r="I69" i="10"/>
  <c r="F69" i="10"/>
  <c r="I68" i="10"/>
  <c r="F68" i="10"/>
  <c r="S68" i="10" s="1"/>
  <c r="I61" i="10"/>
  <c r="O61" i="10" s="1"/>
  <c r="F61" i="10"/>
  <c r="S61" i="10" s="1"/>
  <c r="S60" i="10"/>
  <c r="I60" i="10"/>
  <c r="O60" i="10" s="1"/>
  <c r="F60" i="10"/>
  <c r="I59" i="10"/>
  <c r="O59" i="10" s="1"/>
  <c r="F59" i="10"/>
  <c r="S59" i="10" s="1"/>
  <c r="U59" i="10" s="1"/>
  <c r="S58" i="10"/>
  <c r="U58" i="10" s="1"/>
  <c r="I58" i="10"/>
  <c r="O58" i="10" s="1"/>
  <c r="F58" i="10"/>
  <c r="I57" i="10"/>
  <c r="O57" i="10" s="1"/>
  <c r="F57" i="10"/>
  <c r="S57" i="10" s="1"/>
  <c r="U57" i="10" s="1"/>
  <c r="I56" i="10"/>
  <c r="O56" i="10" s="1"/>
  <c r="F56" i="10"/>
  <c r="S56" i="10" s="1"/>
  <c r="U56" i="10" s="1"/>
  <c r="S55" i="10"/>
  <c r="U55" i="10" s="1"/>
  <c r="O55" i="10"/>
  <c r="I55" i="10"/>
  <c r="F55" i="10"/>
  <c r="I54" i="10"/>
  <c r="O54" i="10" s="1"/>
  <c r="F54" i="10"/>
  <c r="S54" i="10" s="1"/>
  <c r="U54" i="10" s="1"/>
  <c r="I53" i="10"/>
  <c r="O53" i="10" s="1"/>
  <c r="F53" i="10"/>
  <c r="S53" i="10" s="1"/>
  <c r="U53" i="10" s="1"/>
  <c r="S52" i="10"/>
  <c r="I52" i="10"/>
  <c r="O52" i="10" s="1"/>
  <c r="F52" i="10"/>
  <c r="I51" i="10"/>
  <c r="O51" i="10" s="1"/>
  <c r="F51" i="10"/>
  <c r="S51" i="10" s="1"/>
  <c r="U51" i="10" s="1"/>
  <c r="S50" i="10"/>
  <c r="I50" i="10"/>
  <c r="O50" i="10" s="1"/>
  <c r="F50" i="10"/>
  <c r="I49" i="10"/>
  <c r="O49" i="10" s="1"/>
  <c r="F49" i="10"/>
  <c r="S49" i="10" s="1"/>
  <c r="U49" i="10" s="1"/>
  <c r="I42" i="10"/>
  <c r="O42" i="10" s="1"/>
  <c r="F42" i="10"/>
  <c r="S42" i="10" s="1"/>
  <c r="S41" i="10"/>
  <c r="I41" i="10"/>
  <c r="O41" i="10" s="1"/>
  <c r="F41" i="10"/>
  <c r="I40" i="10"/>
  <c r="O40" i="10" s="1"/>
  <c r="F40" i="10"/>
  <c r="S40" i="10" s="1"/>
  <c r="U40" i="10" s="1"/>
  <c r="S39" i="10"/>
  <c r="I39" i="10"/>
  <c r="F39" i="10"/>
  <c r="I38" i="10"/>
  <c r="O38" i="10" s="1"/>
  <c r="F38" i="10"/>
  <c r="S38" i="10" s="1"/>
  <c r="U38" i="10" s="1"/>
  <c r="I37" i="10"/>
  <c r="O37" i="10" s="1"/>
  <c r="F37" i="10"/>
  <c r="S37" i="10" s="1"/>
  <c r="U37" i="10" s="1"/>
  <c r="S36" i="10"/>
  <c r="O36" i="10"/>
  <c r="I36" i="10"/>
  <c r="F36" i="10"/>
  <c r="I35" i="10"/>
  <c r="O35" i="10" s="1"/>
  <c r="F35" i="10"/>
  <c r="S35" i="10" s="1"/>
  <c r="U35" i="10" s="1"/>
  <c r="I34" i="10"/>
  <c r="O34" i="10" s="1"/>
  <c r="F34" i="10"/>
  <c r="S34" i="10" s="1"/>
  <c r="U34" i="10" s="1"/>
  <c r="S33" i="10"/>
  <c r="I33" i="10"/>
  <c r="O33" i="10" s="1"/>
  <c r="F33" i="10"/>
  <c r="I32" i="10"/>
  <c r="F32" i="10"/>
  <c r="S32" i="10" s="1"/>
  <c r="S31" i="10"/>
  <c r="I31" i="10"/>
  <c r="O31" i="10" s="1"/>
  <c r="F31" i="10"/>
  <c r="I30" i="10"/>
  <c r="O30" i="10" s="1"/>
  <c r="F30" i="10"/>
  <c r="S30" i="10" s="1"/>
  <c r="S12" i="10"/>
  <c r="S13" i="10"/>
  <c r="S14" i="10"/>
  <c r="S15" i="10"/>
  <c r="S16" i="10"/>
  <c r="S17" i="10"/>
  <c r="S18" i="10"/>
  <c r="S19" i="10"/>
  <c r="S20" i="10"/>
  <c r="S21" i="10"/>
  <c r="S22" i="10"/>
  <c r="S23" i="10"/>
  <c r="S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11" i="10"/>
  <c r="Q11" i="12" l="1"/>
  <c r="S12" i="12" s="1"/>
  <c r="I17" i="12"/>
  <c r="K17" i="12" s="1"/>
  <c r="M18" i="12" s="1"/>
  <c r="I22" i="12"/>
  <c r="K22" i="12" s="1"/>
  <c r="I14" i="12"/>
  <c r="K14" i="12" s="1"/>
  <c r="M15" i="12" s="1"/>
  <c r="I12" i="12"/>
  <c r="K12" i="12" s="1"/>
  <c r="M13" i="12" s="1"/>
  <c r="Q16" i="12"/>
  <c r="S17" i="12" s="1"/>
  <c r="I18" i="12"/>
  <c r="K18" i="12" s="1"/>
  <c r="M19" i="12" s="1"/>
  <c r="Q15" i="12"/>
  <c r="S16" i="12" s="1"/>
  <c r="G16" i="12"/>
  <c r="Q22" i="12"/>
  <c r="Q14" i="12"/>
  <c r="S15" i="12" s="1"/>
  <c r="Q21" i="12"/>
  <c r="I16" i="12"/>
  <c r="K16" i="12" s="1"/>
  <c r="M17" i="12" s="1"/>
  <c r="G17" i="12"/>
  <c r="Q13" i="12"/>
  <c r="S14" i="12" s="1"/>
  <c r="I11" i="12"/>
  <c r="K11" i="12" s="1"/>
  <c r="M12" i="12" s="1"/>
  <c r="Q43" i="12"/>
  <c r="Q34" i="12"/>
  <c r="S35" i="12" s="1"/>
  <c r="H20" i="13"/>
  <c r="I40" i="12"/>
  <c r="K40" i="12" s="1"/>
  <c r="M41" i="12" s="1"/>
  <c r="Q36" i="12"/>
  <c r="S37" i="12" s="1"/>
  <c r="I32" i="12"/>
  <c r="K32" i="12" s="1"/>
  <c r="M33" i="12" s="1"/>
  <c r="I36" i="12"/>
  <c r="K36" i="12" s="1"/>
  <c r="M37" i="12" s="1"/>
  <c r="Q42" i="12"/>
  <c r="I21" i="12"/>
  <c r="K21" i="12" s="1"/>
  <c r="Q19" i="12"/>
  <c r="S20" i="12" s="1"/>
  <c r="Q18" i="12"/>
  <c r="S19" i="12" s="1"/>
  <c r="I20" i="12"/>
  <c r="K20" i="12" s="1"/>
  <c r="M21" i="12" s="1"/>
  <c r="Q17" i="12"/>
  <c r="S18" i="12" s="1"/>
  <c r="G12" i="12"/>
  <c r="I13" i="12"/>
  <c r="K13" i="12" s="1"/>
  <c r="M14" i="12" s="1"/>
  <c r="Q20" i="12"/>
  <c r="S21" i="12" s="1"/>
  <c r="Q12" i="12"/>
  <c r="S13" i="12" s="1"/>
  <c r="I19" i="12"/>
  <c r="K19" i="12" s="1"/>
  <c r="M20" i="12" s="1"/>
  <c r="G13" i="12"/>
  <c r="I15" i="12"/>
  <c r="K15" i="12" s="1"/>
  <c r="M16" i="12" s="1"/>
  <c r="X11" i="13"/>
  <c r="V11" i="13"/>
  <c r="T10" i="13"/>
  <c r="X10" i="13" s="1"/>
  <c r="H41" i="13"/>
  <c r="G32" i="12"/>
  <c r="Q37" i="12"/>
  <c r="S38" i="12" s="1"/>
  <c r="I43" i="12"/>
  <c r="K43" i="12" s="1"/>
  <c r="I34" i="12"/>
  <c r="K34" i="12" s="1"/>
  <c r="M35" i="12" s="1"/>
  <c r="I41" i="12"/>
  <c r="K41" i="12" s="1"/>
  <c r="M42" i="12" s="1"/>
  <c r="Q35" i="12"/>
  <c r="S36" i="12" s="1"/>
  <c r="I39" i="12"/>
  <c r="K39" i="12" s="1"/>
  <c r="M40" i="12" s="1"/>
  <c r="I42" i="12"/>
  <c r="K42" i="12" s="1"/>
  <c r="I33" i="12"/>
  <c r="K33" i="12" s="1"/>
  <c r="M34" i="12" s="1"/>
  <c r="Q33" i="12"/>
  <c r="S34" i="12" s="1"/>
  <c r="G35" i="12"/>
  <c r="Q39" i="12"/>
  <c r="S40" i="12" s="1"/>
  <c r="I37" i="12"/>
  <c r="K37" i="12" s="1"/>
  <c r="M38" i="12" s="1"/>
  <c r="G38" i="12"/>
  <c r="Q40" i="12"/>
  <c r="S41" i="12" s="1"/>
  <c r="P41" i="12"/>
  <c r="Q32" i="12"/>
  <c r="S33" i="12" s="1"/>
  <c r="I38" i="12"/>
  <c r="K38" i="12" s="1"/>
  <c r="M39" i="12" s="1"/>
  <c r="Q41" i="12"/>
  <c r="S42" i="12" s="1"/>
  <c r="P35" i="12"/>
  <c r="G40" i="12"/>
  <c r="I35" i="12"/>
  <c r="K35" i="12" s="1"/>
  <c r="M36" i="12" s="1"/>
  <c r="Q38" i="12"/>
  <c r="S39" i="12" s="1"/>
  <c r="O79" i="10"/>
  <c r="U79" i="10" s="1"/>
  <c r="O69" i="10"/>
  <c r="U69" i="10" s="1"/>
  <c r="O72" i="10"/>
  <c r="U72" i="10" s="1"/>
  <c r="O76" i="10"/>
  <c r="U76" i="10" s="1"/>
  <c r="O73" i="10"/>
  <c r="U73" i="10" s="1"/>
  <c r="O70" i="10"/>
  <c r="U70" i="10" s="1"/>
  <c r="O68" i="10"/>
  <c r="U68" i="10" s="1"/>
  <c r="O78" i="10"/>
  <c r="U78" i="10" s="1"/>
  <c r="O75" i="10"/>
  <c r="U75" i="10" s="1"/>
  <c r="O77" i="10"/>
  <c r="U77" i="10" s="1"/>
  <c r="O71" i="10"/>
  <c r="U71" i="10" s="1"/>
  <c r="O74" i="10"/>
  <c r="U74" i="10" s="1"/>
  <c r="U52" i="10"/>
  <c r="U60" i="10"/>
  <c r="U50" i="10"/>
  <c r="O32" i="10"/>
  <c r="U32" i="10" s="1"/>
  <c r="U36" i="10"/>
  <c r="O39" i="10"/>
  <c r="U39" i="10" s="1"/>
  <c r="U30" i="10"/>
  <c r="U33" i="10"/>
  <c r="U31" i="10"/>
  <c r="U41" i="10"/>
  <c r="O23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11" i="10"/>
  <c r="P10" i="9"/>
  <c r="P11" i="9"/>
  <c r="P12" i="9"/>
  <c r="P9" i="9"/>
  <c r="V10" i="13" l="1"/>
  <c r="O13" i="10"/>
  <c r="U13" i="10" s="1"/>
  <c r="O22" i="10"/>
  <c r="U22" i="10" s="1"/>
  <c r="O21" i="10"/>
  <c r="U21" i="10" s="1"/>
  <c r="O20" i="10"/>
  <c r="U20" i="10" s="1"/>
  <c r="O16" i="10"/>
  <c r="U16" i="10" s="1"/>
  <c r="O11" i="10"/>
  <c r="U11" i="10" s="1"/>
  <c r="O19" i="10"/>
  <c r="U19" i="10" s="1"/>
  <c r="O17" i="10"/>
  <c r="U17" i="10" s="1"/>
  <c r="O15" i="10"/>
  <c r="U15" i="10" s="1"/>
  <c r="O14" i="10"/>
  <c r="U14" i="10" s="1"/>
  <c r="O18" i="10"/>
  <c r="U18" i="10" s="1"/>
  <c r="O12" i="10"/>
  <c r="U12" i="10" s="1"/>
  <c r="J10" i="9"/>
  <c r="J11" i="9"/>
  <c r="J12" i="9"/>
  <c r="M11" i="9"/>
  <c r="M12" i="9"/>
  <c r="M10" i="9"/>
  <c r="M9" i="9"/>
  <c r="J9" i="9"/>
  <c r="F10" i="1" l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9" i="1"/>
  <c r="F21" i="1" l="1"/>
  <c r="H9" i="1"/>
  <c r="H21" i="1" s="1"/>
  <c r="J8" i="1" l="1"/>
</calcChain>
</file>

<file path=xl/sharedStrings.xml><?xml version="1.0" encoding="utf-8"?>
<sst xmlns="http://schemas.openxmlformats.org/spreadsheetml/2006/main" count="532" uniqueCount="124">
  <si>
    <t>Calculation of site classification :</t>
  </si>
  <si>
    <t>Borehole : 1</t>
  </si>
  <si>
    <t>SPT - N</t>
  </si>
  <si>
    <t>d (m)</t>
  </si>
  <si>
    <t>d/SPT -N</t>
  </si>
  <si>
    <t>Depth (m)</t>
  </si>
  <si>
    <t>Sum</t>
  </si>
  <si>
    <t>N</t>
  </si>
  <si>
    <t>Borehole : 2</t>
  </si>
  <si>
    <t>Borehole : 3</t>
  </si>
  <si>
    <t>Borehole : 4</t>
  </si>
  <si>
    <t>Borehole : 5</t>
  </si>
  <si>
    <t>Borehole : 6</t>
  </si>
  <si>
    <t>Borehole : 7</t>
  </si>
  <si>
    <r>
      <rPr>
        <sz val="16"/>
        <color theme="1"/>
        <rFont val="Calibri"/>
        <family val="2"/>
        <scheme val="minor"/>
      </rPr>
      <t xml:space="preserve">Site class : </t>
    </r>
    <r>
      <rPr>
        <b/>
        <sz val="16"/>
        <color theme="1"/>
        <rFont val="Calibri"/>
        <family val="2"/>
        <scheme val="minor"/>
      </rPr>
      <t>SC</t>
    </r>
  </si>
  <si>
    <r>
      <rPr>
        <sz val="16"/>
        <color theme="1"/>
        <rFont val="Calibri"/>
        <family val="2"/>
        <scheme val="minor"/>
      </rPr>
      <t xml:space="preserve">Site class : </t>
    </r>
    <r>
      <rPr>
        <b/>
        <sz val="16"/>
        <color theme="1"/>
        <rFont val="Calibri"/>
        <family val="2"/>
        <scheme val="minor"/>
      </rPr>
      <t>SD</t>
    </r>
  </si>
  <si>
    <t>Load Combination</t>
  </si>
  <si>
    <t>Maximum Story Displacement (in)</t>
  </si>
  <si>
    <t>Story Height Avobe Ground (ft)</t>
  </si>
  <si>
    <t>Story Height Avobe Ground (in)</t>
  </si>
  <si>
    <t>Allowable Story Displacement (in)</t>
  </si>
  <si>
    <t>Result</t>
  </si>
  <si>
    <t>D + L + 0.7Wx</t>
  </si>
  <si>
    <t>D + L - 0.7Wx</t>
  </si>
  <si>
    <t>D + L + 0.7Wy</t>
  </si>
  <si>
    <t xml:space="preserve">Story Displacement Check/Sway Limitation/Lateral Displacement/Horizontal Displacement check </t>
  </si>
  <si>
    <t>Drift Check According to BNBC 2020</t>
  </si>
  <si>
    <t>Story</t>
  </si>
  <si>
    <t>hsx (in)</t>
  </si>
  <si>
    <t>hsx(ft)</t>
  </si>
  <si>
    <t>Elastic displacement(in)</t>
  </si>
  <si>
    <t>Amplified displacement (in)</t>
  </si>
  <si>
    <t>Story drift (in)</t>
  </si>
  <si>
    <t>Allowable drift (in)</t>
  </si>
  <si>
    <t>Importance factor, I</t>
  </si>
  <si>
    <t>Allowable drift limit</t>
  </si>
  <si>
    <t>Stair Room Roof</t>
  </si>
  <si>
    <t>Story10</t>
  </si>
  <si>
    <t>Story9</t>
  </si>
  <si>
    <t>Story8</t>
  </si>
  <si>
    <t>Story7</t>
  </si>
  <si>
    <t>Story6</t>
  </si>
  <si>
    <t>Story5</t>
  </si>
  <si>
    <t>Story4</t>
  </si>
  <si>
    <t>Story3</t>
  </si>
  <si>
    <t>Story2</t>
  </si>
  <si>
    <t>Story1</t>
  </si>
  <si>
    <t>Plinth Level</t>
  </si>
  <si>
    <t>Foundation Level</t>
  </si>
  <si>
    <t>Drift check for Ex in X direction</t>
  </si>
  <si>
    <t>Drift check for Ex in Y direction</t>
  </si>
  <si>
    <t>OK</t>
  </si>
  <si>
    <t>Dflection Amplification factor,Cd</t>
  </si>
  <si>
    <t>Drift check for Ey in X direction</t>
  </si>
  <si>
    <t>Drift check for Ey in Y direction</t>
  </si>
  <si>
    <t>D + L - 0.7Wy</t>
  </si>
  <si>
    <t>Drift ratio</t>
  </si>
  <si>
    <t>Amplified drift ratio</t>
  </si>
  <si>
    <t>Allowable drift ratio limit</t>
  </si>
  <si>
    <t>story name</t>
  </si>
  <si>
    <t>70% stifness</t>
  </si>
  <si>
    <t>Avg of stiffness of 3 sories above</t>
  </si>
  <si>
    <t>80% Avg of stiffness of 3 sories above</t>
  </si>
  <si>
    <t>Soft story check</t>
  </si>
  <si>
    <t>60% stiffnes</t>
  </si>
  <si>
    <t>70% Avg of stiffness of 3 sories above</t>
  </si>
  <si>
    <t>Extreme soft story check</t>
  </si>
  <si>
    <t>Plinth level</t>
  </si>
  <si>
    <t>Foundation level</t>
  </si>
  <si>
    <t>Stiffness</t>
  </si>
  <si>
    <t>Stiffness Irregularity Check According to BNBC 2020</t>
  </si>
  <si>
    <t>load case</t>
  </si>
  <si>
    <t>1st end displacement of lower story</t>
  </si>
  <si>
    <t>1st end displacement of upper story</t>
  </si>
  <si>
    <t>2nd end displacement of upper story</t>
  </si>
  <si>
    <t>2nd end displacement of lower story</t>
  </si>
  <si>
    <t>1st end drift</t>
  </si>
  <si>
    <t>2nd end drift</t>
  </si>
  <si>
    <t>Maximum Drift</t>
  </si>
  <si>
    <t>Average drift</t>
  </si>
  <si>
    <t>Maximum Drift / Average drift</t>
  </si>
  <si>
    <t>Torsional irregularity check result</t>
  </si>
  <si>
    <t>Extreme torsional irregularity check result</t>
  </si>
  <si>
    <t>Ex</t>
  </si>
  <si>
    <t>Ey</t>
  </si>
  <si>
    <t>If torsionsal irregularity is "IRREGULAR" then we need to solve the torsional irregularity</t>
  </si>
  <si>
    <t>Max Displacement</t>
  </si>
  <si>
    <t>Avg displacement</t>
  </si>
  <si>
    <t>Ax</t>
  </si>
  <si>
    <t>Eccentricity</t>
  </si>
  <si>
    <t>Eccentricity have to be taken</t>
  </si>
  <si>
    <t>Solution of torsional irregularity for Ex in X direction</t>
  </si>
  <si>
    <t>Solution of torsional irregularity for Ex in y direction</t>
  </si>
  <si>
    <t>Solution of torsional irregularity for Ey in X direction</t>
  </si>
  <si>
    <t>Solution of torsional irregularity for Ey in Y direction</t>
  </si>
  <si>
    <t>Torsional Irregularity Check According to BNBC 2020</t>
  </si>
  <si>
    <t>Height (ft)</t>
  </si>
  <si>
    <t>Height (in)</t>
  </si>
  <si>
    <t>Gravity force/Story force (P)</t>
  </si>
  <si>
    <t>Story shear (Vx)</t>
  </si>
  <si>
    <t>Displacement</t>
  </si>
  <si>
    <t>Story drift</t>
  </si>
  <si>
    <t>ᶿ</t>
  </si>
  <si>
    <t>Cd</t>
  </si>
  <si>
    <t>Importance factor</t>
  </si>
  <si>
    <t>ᶿmax</t>
  </si>
  <si>
    <t>ϐ</t>
  </si>
  <si>
    <t>Story shear (Vy)</t>
  </si>
  <si>
    <t>P delta for Ex</t>
  </si>
  <si>
    <t>P delta for Ey</t>
  </si>
  <si>
    <t>P Delta Check According to BNBC 2020</t>
  </si>
  <si>
    <t>For earthquake load</t>
  </si>
  <si>
    <t>For wind load</t>
  </si>
  <si>
    <t>Drift check for Wx in X direction</t>
  </si>
  <si>
    <t>Allowable drift</t>
  </si>
  <si>
    <t>Concrete moment Resisting Frame</t>
  </si>
  <si>
    <t>Ct</t>
  </si>
  <si>
    <t>m</t>
  </si>
  <si>
    <t>h</t>
  </si>
  <si>
    <t>T</t>
  </si>
  <si>
    <t>Drift check for Wy in Y direction</t>
  </si>
  <si>
    <t>Drift Ratio Check According to BNBC 2020</t>
  </si>
  <si>
    <t>Drift ratio check for Ex in X direction</t>
  </si>
  <si>
    <t>Drift ratio check for Ex in Y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</si>
</sst>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</font>
    <font>
      <sz val="26"/>
      <color theme="1"/>
      <name val="Calibri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0" fillId="0" borderId="0" xfId="0" applyBorder="1" applyAlignment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1" xfId="0" applyNumberFormat="1" applyBorder="1" applyAlignment="1">
      <alignment vertical="center" wrapText="1"/>
    </xf>
    <xf numFmtId="0" fontId="0" fillId="0" borderId="1" xfId="0" applyBorder="1"/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/>
    <xf numFmtId="0" fontId="0" fillId="0" borderId="1" xfId="0" applyBorder="1" applyAlignment="1"/>
    <xf numFmtId="0" fontId="0" fillId="0" borderId="0" xfId="0" applyBorder="1" applyAlignment="1">
      <alignment vertical="center"/>
    </xf>
    <xf numFmtId="2" fontId="0" fillId="0" borderId="0" xfId="0" applyNumberFormat="1" applyFont="1" applyBorder="1" applyAlignment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20FF-B46C-4365-86B8-E130D78C4692}">
  <dimension ref="B2:L187"/>
  <sheetViews>
    <sheetView topLeftCell="A163" workbookViewId="0">
      <selection activeCell="M183" sqref="M183"/>
    </sheetView>
  </sheetViews>
  <sheetFormatPr defaultRowHeight="14.4" x14ac:dyDescent="0.3"/>
  <sheetData>
    <row r="2" spans="2:12" ht="14.4" customHeight="1" x14ac:dyDescent="0.3">
      <c r="B2" s="24" t="s">
        <v>1</v>
      </c>
      <c r="C2" s="24"/>
      <c r="D2" s="24"/>
      <c r="E2" s="1"/>
      <c r="F2" s="1"/>
      <c r="G2" s="1"/>
      <c r="H2" s="1"/>
      <c r="I2" s="1"/>
      <c r="J2" s="1"/>
      <c r="K2" s="1"/>
      <c r="L2" s="1"/>
    </row>
    <row r="3" spans="2:12" ht="14.4" customHeight="1" x14ac:dyDescent="0.3">
      <c r="B3" s="25"/>
      <c r="C3" s="25"/>
      <c r="D3" s="25"/>
      <c r="E3" s="1"/>
      <c r="F3" s="1"/>
      <c r="G3" s="1"/>
      <c r="H3" s="1"/>
      <c r="I3" s="1"/>
      <c r="J3" s="1"/>
      <c r="K3" s="1"/>
      <c r="L3" s="1"/>
    </row>
    <row r="4" spans="2:12" ht="14.4" customHeight="1" x14ac:dyDescent="0.4">
      <c r="B4" s="24" t="s">
        <v>0</v>
      </c>
      <c r="C4" s="24"/>
      <c r="D4" s="24"/>
      <c r="E4" s="24"/>
      <c r="F4" s="24"/>
      <c r="G4" s="2"/>
      <c r="H4" s="2"/>
      <c r="I4" s="1"/>
      <c r="J4" s="1"/>
      <c r="K4" s="1"/>
      <c r="L4" s="1"/>
    </row>
    <row r="5" spans="2:12" ht="14.4" customHeight="1" x14ac:dyDescent="0.4">
      <c r="B5" s="24"/>
      <c r="C5" s="24"/>
      <c r="D5" s="24"/>
      <c r="E5" s="24"/>
      <c r="F5" s="24"/>
      <c r="G5" s="2"/>
      <c r="H5" s="2"/>
      <c r="I5" s="1"/>
      <c r="J5" s="1"/>
      <c r="K5" s="1"/>
      <c r="L5" s="1"/>
    </row>
    <row r="7" spans="2:12" x14ac:dyDescent="0.3">
      <c r="B7" s="23" t="s">
        <v>5</v>
      </c>
      <c r="C7" s="23"/>
      <c r="D7" s="23" t="s">
        <v>2</v>
      </c>
      <c r="E7" s="23"/>
      <c r="F7" s="23" t="s">
        <v>3</v>
      </c>
      <c r="G7" s="23"/>
      <c r="H7" s="23" t="s">
        <v>4</v>
      </c>
      <c r="I7" s="23"/>
      <c r="J7" s="22" t="s">
        <v>7</v>
      </c>
      <c r="K7" s="22"/>
    </row>
    <row r="8" spans="2:12" x14ac:dyDescent="0.3">
      <c r="B8" s="23">
        <v>0</v>
      </c>
      <c r="C8" s="23"/>
      <c r="D8" s="23">
        <v>0</v>
      </c>
      <c r="E8" s="23"/>
      <c r="F8" s="23">
        <v>0</v>
      </c>
      <c r="G8" s="23"/>
      <c r="H8" s="23">
        <v>0</v>
      </c>
      <c r="I8" s="23"/>
      <c r="J8" s="20">
        <f>F21/H21</f>
        <v>29.775573240653646</v>
      </c>
      <c r="K8" s="20"/>
    </row>
    <row r="9" spans="2:12" x14ac:dyDescent="0.3">
      <c r="B9" s="23">
        <v>1</v>
      </c>
      <c r="C9" s="23"/>
      <c r="D9" s="23">
        <v>8</v>
      </c>
      <c r="E9" s="23"/>
      <c r="F9" s="23">
        <f>B9-B8</f>
        <v>1</v>
      </c>
      <c r="G9" s="23"/>
      <c r="H9" s="23">
        <f>F9/D9</f>
        <v>0.125</v>
      </c>
      <c r="I9" s="23"/>
      <c r="J9" s="20"/>
      <c r="K9" s="20"/>
    </row>
    <row r="10" spans="2:12" x14ac:dyDescent="0.3">
      <c r="B10" s="23">
        <v>2</v>
      </c>
      <c r="C10" s="23"/>
      <c r="D10" s="23">
        <v>14</v>
      </c>
      <c r="E10" s="23"/>
      <c r="F10" s="23">
        <f t="shared" ref="F10:F20" si="0">B10-B9</f>
        <v>1</v>
      </c>
      <c r="G10" s="23"/>
      <c r="H10" s="23">
        <f t="shared" ref="H10:H20" si="1">F10/D10</f>
        <v>7.1428571428571425E-2</v>
      </c>
      <c r="I10" s="23"/>
      <c r="J10" s="20"/>
      <c r="K10" s="20"/>
    </row>
    <row r="11" spans="2:12" x14ac:dyDescent="0.3">
      <c r="B11" s="23">
        <v>3</v>
      </c>
      <c r="C11" s="23"/>
      <c r="D11" s="23">
        <v>27</v>
      </c>
      <c r="E11" s="23"/>
      <c r="F11" s="23">
        <f t="shared" si="0"/>
        <v>1</v>
      </c>
      <c r="G11" s="23"/>
      <c r="H11" s="23">
        <f t="shared" si="1"/>
        <v>3.7037037037037035E-2</v>
      </c>
      <c r="I11" s="23"/>
      <c r="J11" s="20"/>
      <c r="K11" s="20"/>
    </row>
    <row r="12" spans="2:12" x14ac:dyDescent="0.3">
      <c r="B12" s="23">
        <v>4</v>
      </c>
      <c r="C12" s="23"/>
      <c r="D12" s="23">
        <v>25</v>
      </c>
      <c r="E12" s="23"/>
      <c r="F12" s="23">
        <f t="shared" si="0"/>
        <v>1</v>
      </c>
      <c r="G12" s="23"/>
      <c r="H12" s="23">
        <f t="shared" si="1"/>
        <v>0.04</v>
      </c>
      <c r="I12" s="23"/>
      <c r="J12" s="20"/>
      <c r="K12" s="20"/>
    </row>
    <row r="13" spans="2:12" x14ac:dyDescent="0.3">
      <c r="B13" s="23">
        <v>5</v>
      </c>
      <c r="C13" s="23"/>
      <c r="D13" s="23">
        <v>33</v>
      </c>
      <c r="E13" s="23"/>
      <c r="F13" s="23">
        <f t="shared" si="0"/>
        <v>1</v>
      </c>
      <c r="G13" s="23"/>
      <c r="H13" s="23">
        <f t="shared" si="1"/>
        <v>3.0303030303030304E-2</v>
      </c>
      <c r="I13" s="23"/>
      <c r="J13" s="20"/>
      <c r="K13" s="20"/>
    </row>
    <row r="14" spans="2:12" x14ac:dyDescent="0.3">
      <c r="B14" s="23">
        <v>6</v>
      </c>
      <c r="C14" s="23"/>
      <c r="D14" s="23">
        <v>50</v>
      </c>
      <c r="E14" s="23"/>
      <c r="F14" s="23">
        <f t="shared" si="0"/>
        <v>1</v>
      </c>
      <c r="G14" s="23"/>
      <c r="H14" s="23">
        <f t="shared" si="1"/>
        <v>0.02</v>
      </c>
      <c r="I14" s="23"/>
      <c r="J14" s="20"/>
      <c r="K14" s="20"/>
    </row>
    <row r="15" spans="2:12" x14ac:dyDescent="0.3">
      <c r="B15" s="23">
        <v>7.5</v>
      </c>
      <c r="C15" s="23"/>
      <c r="D15" s="23">
        <v>50</v>
      </c>
      <c r="E15" s="23"/>
      <c r="F15" s="23">
        <f t="shared" si="0"/>
        <v>1.5</v>
      </c>
      <c r="G15" s="23"/>
      <c r="H15" s="23">
        <f t="shared" si="1"/>
        <v>0.03</v>
      </c>
      <c r="I15" s="23"/>
      <c r="J15" s="20"/>
      <c r="K15" s="20"/>
    </row>
    <row r="16" spans="2:12" x14ac:dyDescent="0.3">
      <c r="B16" s="23">
        <v>9</v>
      </c>
      <c r="C16" s="23"/>
      <c r="D16" s="23">
        <v>50</v>
      </c>
      <c r="E16" s="23"/>
      <c r="F16" s="23">
        <f t="shared" si="0"/>
        <v>1.5</v>
      </c>
      <c r="G16" s="23"/>
      <c r="H16" s="23">
        <f t="shared" si="1"/>
        <v>0.03</v>
      </c>
      <c r="I16" s="23"/>
      <c r="J16" s="20"/>
      <c r="K16" s="20"/>
    </row>
    <row r="17" spans="2:11" x14ac:dyDescent="0.3">
      <c r="B17" s="23">
        <v>10.5</v>
      </c>
      <c r="C17" s="23"/>
      <c r="D17" s="23">
        <v>50</v>
      </c>
      <c r="E17" s="23"/>
      <c r="F17" s="23">
        <f t="shared" si="0"/>
        <v>1.5</v>
      </c>
      <c r="G17" s="23"/>
      <c r="H17" s="23">
        <f t="shared" si="1"/>
        <v>0.03</v>
      </c>
      <c r="I17" s="23"/>
      <c r="J17" s="20"/>
      <c r="K17" s="20"/>
    </row>
    <row r="18" spans="2:11" x14ac:dyDescent="0.3">
      <c r="B18" s="23">
        <v>12</v>
      </c>
      <c r="C18" s="23"/>
      <c r="D18" s="23">
        <v>50</v>
      </c>
      <c r="E18" s="23"/>
      <c r="F18" s="23">
        <f t="shared" si="0"/>
        <v>1.5</v>
      </c>
      <c r="G18" s="23"/>
      <c r="H18" s="23">
        <f t="shared" si="1"/>
        <v>0.03</v>
      </c>
      <c r="I18" s="23"/>
      <c r="J18" s="20"/>
      <c r="K18" s="20"/>
    </row>
    <row r="19" spans="2:11" x14ac:dyDescent="0.3">
      <c r="B19" s="23">
        <v>13.5</v>
      </c>
      <c r="C19" s="23"/>
      <c r="D19" s="23">
        <v>50</v>
      </c>
      <c r="E19" s="23"/>
      <c r="F19" s="23">
        <f t="shared" si="0"/>
        <v>1.5</v>
      </c>
      <c r="G19" s="23"/>
      <c r="H19" s="23">
        <f t="shared" si="1"/>
        <v>0.03</v>
      </c>
      <c r="I19" s="23"/>
      <c r="J19" s="20"/>
      <c r="K19" s="20"/>
    </row>
    <row r="20" spans="2:11" x14ac:dyDescent="0.3">
      <c r="B20" s="23">
        <v>15</v>
      </c>
      <c r="C20" s="23"/>
      <c r="D20" s="23">
        <v>50</v>
      </c>
      <c r="E20" s="23"/>
      <c r="F20" s="23">
        <f t="shared" si="0"/>
        <v>1.5</v>
      </c>
      <c r="G20" s="23"/>
      <c r="H20" s="23">
        <f t="shared" si="1"/>
        <v>0.03</v>
      </c>
      <c r="I20" s="23"/>
      <c r="J20" s="20"/>
      <c r="K20" s="20"/>
    </row>
    <row r="21" spans="2:11" x14ac:dyDescent="0.3">
      <c r="B21" s="22" t="s">
        <v>6</v>
      </c>
      <c r="C21" s="22"/>
      <c r="D21" s="23"/>
      <c r="E21" s="23"/>
      <c r="F21" s="23">
        <f>SUM(F8:G20)</f>
        <v>15</v>
      </c>
      <c r="G21" s="23"/>
      <c r="H21" s="23">
        <f>SUM(H8:I20)</f>
        <v>0.50376863876863898</v>
      </c>
      <c r="I21" s="23"/>
      <c r="J21" s="20"/>
      <c r="K21" s="20"/>
    </row>
    <row r="22" spans="2:11" x14ac:dyDescent="0.3">
      <c r="B22" s="1"/>
      <c r="C22" s="1"/>
      <c r="D22" s="1"/>
      <c r="E22" s="1"/>
      <c r="F22" s="1"/>
      <c r="G22" s="1"/>
      <c r="H22" s="1"/>
      <c r="I22" s="1"/>
    </row>
    <row r="23" spans="2:11" x14ac:dyDescent="0.3">
      <c r="B23" s="1"/>
      <c r="C23" s="1"/>
      <c r="D23" s="1"/>
      <c r="E23" s="1"/>
      <c r="F23" s="1"/>
      <c r="G23" s="1"/>
      <c r="H23" s="1"/>
      <c r="I23" s="1"/>
    </row>
    <row r="24" spans="2:11" x14ac:dyDescent="0.3">
      <c r="B24" s="21" t="s">
        <v>14</v>
      </c>
      <c r="C24" s="21"/>
      <c r="D24" s="21"/>
      <c r="E24" s="21"/>
      <c r="F24" s="1"/>
      <c r="G24" s="1"/>
      <c r="H24" s="1"/>
      <c r="I24" s="1"/>
    </row>
    <row r="25" spans="2:11" x14ac:dyDescent="0.3">
      <c r="B25" s="21"/>
      <c r="C25" s="21"/>
      <c r="D25" s="21"/>
      <c r="E25" s="21"/>
    </row>
    <row r="29" spans="2:11" x14ac:dyDescent="0.3">
      <c r="B29" s="24" t="s">
        <v>8</v>
      </c>
      <c r="C29" s="24"/>
      <c r="D29" s="24"/>
    </row>
    <row r="30" spans="2:11" x14ac:dyDescent="0.3">
      <c r="B30" s="25"/>
      <c r="C30" s="25"/>
      <c r="D30" s="25"/>
    </row>
    <row r="31" spans="2:11" x14ac:dyDescent="0.3">
      <c r="B31" s="24" t="s">
        <v>0</v>
      </c>
      <c r="C31" s="24"/>
      <c r="D31" s="24"/>
      <c r="E31" s="24"/>
      <c r="F31" s="24"/>
    </row>
    <row r="32" spans="2:11" x14ac:dyDescent="0.3">
      <c r="B32" s="24"/>
      <c r="C32" s="24"/>
      <c r="D32" s="24"/>
      <c r="E32" s="24"/>
      <c r="F32" s="24"/>
    </row>
    <row r="34" spans="2:11" x14ac:dyDescent="0.3">
      <c r="B34" s="23" t="s">
        <v>5</v>
      </c>
      <c r="C34" s="23"/>
      <c r="D34" s="23" t="s">
        <v>2</v>
      </c>
      <c r="E34" s="23"/>
      <c r="F34" s="23" t="s">
        <v>3</v>
      </c>
      <c r="G34" s="23"/>
      <c r="H34" s="23" t="s">
        <v>4</v>
      </c>
      <c r="I34" s="23"/>
      <c r="J34" s="22" t="s">
        <v>7</v>
      </c>
      <c r="K34" s="22"/>
    </row>
    <row r="35" spans="2:11" x14ac:dyDescent="0.3">
      <c r="B35" s="23">
        <v>0</v>
      </c>
      <c r="C35" s="23"/>
      <c r="D35" s="23">
        <v>0</v>
      </c>
      <c r="E35" s="23"/>
      <c r="F35" s="23">
        <v>0</v>
      </c>
      <c r="G35" s="23"/>
      <c r="H35" s="23">
        <v>0</v>
      </c>
      <c r="I35" s="23"/>
      <c r="J35" s="20">
        <f>F48/H48</f>
        <v>12.616442072894998</v>
      </c>
      <c r="K35" s="20"/>
    </row>
    <row r="36" spans="2:11" x14ac:dyDescent="0.3">
      <c r="B36" s="23">
        <v>1</v>
      </c>
      <c r="C36" s="23"/>
      <c r="D36" s="23">
        <v>3</v>
      </c>
      <c r="E36" s="23"/>
      <c r="F36" s="23">
        <f>B36-B35</f>
        <v>1</v>
      </c>
      <c r="G36" s="23"/>
      <c r="H36" s="23">
        <f>F36/D36</f>
        <v>0.33333333333333331</v>
      </c>
      <c r="I36" s="23"/>
      <c r="J36" s="20"/>
      <c r="K36" s="20"/>
    </row>
    <row r="37" spans="2:11" x14ac:dyDescent="0.3">
      <c r="B37" s="23">
        <v>2</v>
      </c>
      <c r="C37" s="23"/>
      <c r="D37" s="23">
        <v>3</v>
      </c>
      <c r="E37" s="23"/>
      <c r="F37" s="23">
        <f t="shared" ref="F37:F47" si="2">B37-B36</f>
        <v>1</v>
      </c>
      <c r="G37" s="23"/>
      <c r="H37" s="23">
        <f t="shared" ref="H37:H47" si="3">F37/D37</f>
        <v>0.33333333333333331</v>
      </c>
      <c r="I37" s="23"/>
      <c r="J37" s="20"/>
      <c r="K37" s="20"/>
    </row>
    <row r="38" spans="2:11" x14ac:dyDescent="0.3">
      <c r="B38" s="23">
        <v>3</v>
      </c>
      <c r="C38" s="23"/>
      <c r="D38" s="23">
        <v>4</v>
      </c>
      <c r="E38" s="23"/>
      <c r="F38" s="23">
        <f t="shared" si="2"/>
        <v>1</v>
      </c>
      <c r="G38" s="23"/>
      <c r="H38" s="23">
        <f t="shared" si="3"/>
        <v>0.25</v>
      </c>
      <c r="I38" s="23"/>
      <c r="J38" s="20"/>
      <c r="K38" s="20"/>
    </row>
    <row r="39" spans="2:11" x14ac:dyDescent="0.3">
      <c r="B39" s="23">
        <v>4</v>
      </c>
      <c r="C39" s="23"/>
      <c r="D39" s="23">
        <v>25</v>
      </c>
      <c r="E39" s="23"/>
      <c r="F39" s="23">
        <f t="shared" si="2"/>
        <v>1</v>
      </c>
      <c r="G39" s="23"/>
      <c r="H39" s="23">
        <f t="shared" si="3"/>
        <v>0.04</v>
      </c>
      <c r="I39" s="23"/>
      <c r="J39" s="20"/>
      <c r="K39" s="20"/>
    </row>
    <row r="40" spans="2:11" x14ac:dyDescent="0.3">
      <c r="B40" s="23">
        <v>5</v>
      </c>
      <c r="C40" s="23"/>
      <c r="D40" s="23">
        <v>31</v>
      </c>
      <c r="E40" s="23"/>
      <c r="F40" s="23">
        <f t="shared" si="2"/>
        <v>1</v>
      </c>
      <c r="G40" s="23"/>
      <c r="H40" s="23">
        <f t="shared" si="3"/>
        <v>3.2258064516129031E-2</v>
      </c>
      <c r="I40" s="23"/>
      <c r="J40" s="20"/>
      <c r="K40" s="20"/>
    </row>
    <row r="41" spans="2:11" x14ac:dyDescent="0.3">
      <c r="B41" s="23">
        <v>6</v>
      </c>
      <c r="C41" s="23"/>
      <c r="D41" s="23">
        <v>50</v>
      </c>
      <c r="E41" s="23"/>
      <c r="F41" s="23">
        <f t="shared" si="2"/>
        <v>1</v>
      </c>
      <c r="G41" s="23"/>
      <c r="H41" s="23">
        <f t="shared" si="3"/>
        <v>0.02</v>
      </c>
      <c r="I41" s="23"/>
      <c r="J41" s="20"/>
      <c r="K41" s="20"/>
    </row>
    <row r="42" spans="2:11" x14ac:dyDescent="0.3">
      <c r="B42" s="23">
        <v>7.5</v>
      </c>
      <c r="C42" s="23"/>
      <c r="D42" s="23">
        <v>50</v>
      </c>
      <c r="E42" s="23"/>
      <c r="F42" s="23">
        <f t="shared" si="2"/>
        <v>1.5</v>
      </c>
      <c r="G42" s="23"/>
      <c r="H42" s="23">
        <f t="shared" si="3"/>
        <v>0.03</v>
      </c>
      <c r="I42" s="23"/>
      <c r="J42" s="20"/>
      <c r="K42" s="20"/>
    </row>
    <row r="43" spans="2:11" x14ac:dyDescent="0.3">
      <c r="B43" s="23">
        <v>9</v>
      </c>
      <c r="C43" s="23"/>
      <c r="D43" s="23">
        <v>50</v>
      </c>
      <c r="E43" s="23"/>
      <c r="F43" s="23">
        <f t="shared" si="2"/>
        <v>1.5</v>
      </c>
      <c r="G43" s="23"/>
      <c r="H43" s="23">
        <f t="shared" si="3"/>
        <v>0.03</v>
      </c>
      <c r="I43" s="23"/>
      <c r="J43" s="20"/>
      <c r="K43" s="20"/>
    </row>
    <row r="44" spans="2:11" x14ac:dyDescent="0.3">
      <c r="B44" s="23">
        <v>10.5</v>
      </c>
      <c r="C44" s="23"/>
      <c r="D44" s="23">
        <v>50</v>
      </c>
      <c r="E44" s="23"/>
      <c r="F44" s="23">
        <f t="shared" si="2"/>
        <v>1.5</v>
      </c>
      <c r="G44" s="23"/>
      <c r="H44" s="23">
        <f t="shared" si="3"/>
        <v>0.03</v>
      </c>
      <c r="I44" s="23"/>
      <c r="J44" s="20"/>
      <c r="K44" s="20"/>
    </row>
    <row r="45" spans="2:11" x14ac:dyDescent="0.3">
      <c r="B45" s="23">
        <v>12</v>
      </c>
      <c r="C45" s="23"/>
      <c r="D45" s="23">
        <v>50</v>
      </c>
      <c r="E45" s="23"/>
      <c r="F45" s="23">
        <f t="shared" si="2"/>
        <v>1.5</v>
      </c>
      <c r="G45" s="23"/>
      <c r="H45" s="23">
        <f t="shared" si="3"/>
        <v>0.03</v>
      </c>
      <c r="I45" s="23"/>
      <c r="J45" s="20"/>
      <c r="K45" s="20"/>
    </row>
    <row r="46" spans="2:11" x14ac:dyDescent="0.3">
      <c r="B46" s="23">
        <v>13.5</v>
      </c>
      <c r="C46" s="23"/>
      <c r="D46" s="23">
        <v>50</v>
      </c>
      <c r="E46" s="23"/>
      <c r="F46" s="23">
        <f t="shared" si="2"/>
        <v>1.5</v>
      </c>
      <c r="G46" s="23"/>
      <c r="H46" s="23">
        <f t="shared" si="3"/>
        <v>0.03</v>
      </c>
      <c r="I46" s="23"/>
      <c r="J46" s="20"/>
      <c r="K46" s="20"/>
    </row>
    <row r="47" spans="2:11" x14ac:dyDescent="0.3">
      <c r="B47" s="23">
        <v>15</v>
      </c>
      <c r="C47" s="23"/>
      <c r="D47" s="23">
        <v>50</v>
      </c>
      <c r="E47" s="23"/>
      <c r="F47" s="23">
        <f t="shared" si="2"/>
        <v>1.5</v>
      </c>
      <c r="G47" s="23"/>
      <c r="H47" s="23">
        <f t="shared" si="3"/>
        <v>0.03</v>
      </c>
      <c r="I47" s="23"/>
      <c r="J47" s="20"/>
      <c r="K47" s="20"/>
    </row>
    <row r="48" spans="2:11" x14ac:dyDescent="0.3">
      <c r="B48" s="22" t="s">
        <v>6</v>
      </c>
      <c r="C48" s="22"/>
      <c r="D48" s="23"/>
      <c r="E48" s="23"/>
      <c r="F48" s="23">
        <f>SUM(F35:G47)</f>
        <v>15</v>
      </c>
      <c r="G48" s="23"/>
      <c r="H48" s="23">
        <f>SUM(H35:I47)</f>
        <v>1.1889247311827957</v>
      </c>
      <c r="I48" s="23"/>
      <c r="J48" s="20"/>
      <c r="K48" s="20"/>
    </row>
    <row r="51" spans="2:11" x14ac:dyDescent="0.3">
      <c r="B51" s="21" t="s">
        <v>15</v>
      </c>
      <c r="C51" s="21"/>
      <c r="D51" s="21"/>
      <c r="E51" s="21"/>
    </row>
    <row r="52" spans="2:11" x14ac:dyDescent="0.3">
      <c r="B52" s="21"/>
      <c r="C52" s="21"/>
      <c r="D52" s="21"/>
      <c r="E52" s="21"/>
    </row>
    <row r="56" spans="2:11" x14ac:dyDescent="0.3">
      <c r="B56" s="24" t="s">
        <v>9</v>
      </c>
      <c r="C56" s="24"/>
      <c r="D56" s="24"/>
    </row>
    <row r="57" spans="2:11" x14ac:dyDescent="0.3">
      <c r="B57" s="25"/>
      <c r="C57" s="25"/>
      <c r="D57" s="25"/>
    </row>
    <row r="58" spans="2:11" x14ac:dyDescent="0.3">
      <c r="B58" s="24" t="s">
        <v>0</v>
      </c>
      <c r="C58" s="24"/>
      <c r="D58" s="24"/>
      <c r="E58" s="24"/>
      <c r="F58" s="24"/>
    </row>
    <row r="59" spans="2:11" x14ac:dyDescent="0.3">
      <c r="B59" s="24"/>
      <c r="C59" s="24"/>
      <c r="D59" s="24"/>
      <c r="E59" s="24"/>
      <c r="F59" s="24"/>
    </row>
    <row r="61" spans="2:11" x14ac:dyDescent="0.3">
      <c r="B61" s="23" t="s">
        <v>5</v>
      </c>
      <c r="C61" s="23"/>
      <c r="D61" s="23" t="s">
        <v>2</v>
      </c>
      <c r="E61" s="23"/>
      <c r="F61" s="23" t="s">
        <v>3</v>
      </c>
      <c r="G61" s="23"/>
      <c r="H61" s="23" t="s">
        <v>4</v>
      </c>
      <c r="I61" s="23"/>
      <c r="J61" s="22" t="s">
        <v>7</v>
      </c>
      <c r="K61" s="22"/>
    </row>
    <row r="62" spans="2:11" x14ac:dyDescent="0.3">
      <c r="B62" s="23">
        <v>0</v>
      </c>
      <c r="C62" s="23"/>
      <c r="D62" s="23">
        <v>0</v>
      </c>
      <c r="E62" s="23"/>
      <c r="F62" s="23">
        <v>0</v>
      </c>
      <c r="G62" s="23"/>
      <c r="H62" s="23">
        <v>0</v>
      </c>
      <c r="I62" s="23"/>
      <c r="J62" s="20">
        <f>F75/H75</f>
        <v>14.583333333333332</v>
      </c>
      <c r="K62" s="20"/>
    </row>
    <row r="63" spans="2:11" x14ac:dyDescent="0.3">
      <c r="B63" s="23">
        <v>1</v>
      </c>
      <c r="C63" s="23"/>
      <c r="D63" s="23">
        <v>2</v>
      </c>
      <c r="E63" s="23"/>
      <c r="F63" s="23">
        <f>B63-B62</f>
        <v>1</v>
      </c>
      <c r="G63" s="23"/>
      <c r="H63" s="23">
        <f>F63/D63</f>
        <v>0.5</v>
      </c>
      <c r="I63" s="23"/>
      <c r="J63" s="20"/>
      <c r="K63" s="20"/>
    </row>
    <row r="64" spans="2:11" x14ac:dyDescent="0.3">
      <c r="B64" s="23">
        <v>2</v>
      </c>
      <c r="C64" s="23"/>
      <c r="D64" s="23">
        <v>7</v>
      </c>
      <c r="E64" s="23"/>
      <c r="F64" s="23">
        <f t="shared" ref="F64:F74" si="4">B64-B63</f>
        <v>1</v>
      </c>
      <c r="G64" s="23"/>
      <c r="H64" s="23">
        <f t="shared" ref="H64:H74" si="5">F64/D64</f>
        <v>0.14285714285714285</v>
      </c>
      <c r="I64" s="23"/>
      <c r="J64" s="20"/>
      <c r="K64" s="20"/>
    </row>
    <row r="65" spans="2:11" x14ac:dyDescent="0.3">
      <c r="B65" s="23">
        <v>3</v>
      </c>
      <c r="C65" s="23"/>
      <c r="D65" s="23">
        <v>8</v>
      </c>
      <c r="E65" s="23"/>
      <c r="F65" s="23">
        <f t="shared" si="4"/>
        <v>1</v>
      </c>
      <c r="G65" s="23"/>
      <c r="H65" s="23">
        <f t="shared" si="5"/>
        <v>0.125</v>
      </c>
      <c r="I65" s="23"/>
      <c r="J65" s="20"/>
      <c r="K65" s="20"/>
    </row>
    <row r="66" spans="2:11" x14ac:dyDescent="0.3">
      <c r="B66" s="23">
        <v>4</v>
      </c>
      <c r="C66" s="23"/>
      <c r="D66" s="23">
        <v>28</v>
      </c>
      <c r="E66" s="23"/>
      <c r="F66" s="23">
        <f t="shared" si="4"/>
        <v>1</v>
      </c>
      <c r="G66" s="23"/>
      <c r="H66" s="23">
        <f t="shared" si="5"/>
        <v>3.5714285714285712E-2</v>
      </c>
      <c r="I66" s="23"/>
      <c r="J66" s="20"/>
      <c r="K66" s="20"/>
    </row>
    <row r="67" spans="2:11" x14ac:dyDescent="0.3">
      <c r="B67" s="23">
        <v>5</v>
      </c>
      <c r="C67" s="23"/>
      <c r="D67" s="23">
        <v>40</v>
      </c>
      <c r="E67" s="23"/>
      <c r="F67" s="23">
        <f t="shared" si="4"/>
        <v>1</v>
      </c>
      <c r="G67" s="23"/>
      <c r="H67" s="23">
        <f t="shared" si="5"/>
        <v>2.5000000000000001E-2</v>
      </c>
      <c r="I67" s="23"/>
      <c r="J67" s="20"/>
      <c r="K67" s="20"/>
    </row>
    <row r="68" spans="2:11" x14ac:dyDescent="0.3">
      <c r="B68" s="23">
        <v>6</v>
      </c>
      <c r="C68" s="23"/>
      <c r="D68" s="23">
        <v>50</v>
      </c>
      <c r="E68" s="23"/>
      <c r="F68" s="23">
        <f t="shared" si="4"/>
        <v>1</v>
      </c>
      <c r="G68" s="23"/>
      <c r="H68" s="23">
        <f t="shared" si="5"/>
        <v>0.02</v>
      </c>
      <c r="I68" s="23"/>
      <c r="J68" s="20"/>
      <c r="K68" s="20"/>
    </row>
    <row r="69" spans="2:11" x14ac:dyDescent="0.3">
      <c r="B69" s="23">
        <v>7.5</v>
      </c>
      <c r="C69" s="23"/>
      <c r="D69" s="23">
        <v>50</v>
      </c>
      <c r="E69" s="23"/>
      <c r="F69" s="23">
        <f t="shared" si="4"/>
        <v>1.5</v>
      </c>
      <c r="G69" s="23"/>
      <c r="H69" s="23">
        <f t="shared" si="5"/>
        <v>0.03</v>
      </c>
      <c r="I69" s="23"/>
      <c r="J69" s="20"/>
      <c r="K69" s="20"/>
    </row>
    <row r="70" spans="2:11" x14ac:dyDescent="0.3">
      <c r="B70" s="23">
        <v>9</v>
      </c>
      <c r="C70" s="23"/>
      <c r="D70" s="23">
        <v>50</v>
      </c>
      <c r="E70" s="23"/>
      <c r="F70" s="23">
        <f t="shared" si="4"/>
        <v>1.5</v>
      </c>
      <c r="G70" s="23"/>
      <c r="H70" s="23">
        <f t="shared" si="5"/>
        <v>0.03</v>
      </c>
      <c r="I70" s="23"/>
      <c r="J70" s="20"/>
      <c r="K70" s="20"/>
    </row>
    <row r="71" spans="2:11" x14ac:dyDescent="0.3">
      <c r="B71" s="23">
        <v>10.5</v>
      </c>
      <c r="C71" s="23"/>
      <c r="D71" s="23">
        <v>50</v>
      </c>
      <c r="E71" s="23"/>
      <c r="F71" s="23">
        <f t="shared" si="4"/>
        <v>1.5</v>
      </c>
      <c r="G71" s="23"/>
      <c r="H71" s="23">
        <f t="shared" si="5"/>
        <v>0.03</v>
      </c>
      <c r="I71" s="23"/>
      <c r="J71" s="20"/>
      <c r="K71" s="20"/>
    </row>
    <row r="72" spans="2:11" x14ac:dyDescent="0.3">
      <c r="B72" s="23">
        <v>12</v>
      </c>
      <c r="C72" s="23"/>
      <c r="D72" s="23">
        <v>50</v>
      </c>
      <c r="E72" s="23"/>
      <c r="F72" s="23">
        <f t="shared" si="4"/>
        <v>1.5</v>
      </c>
      <c r="G72" s="23"/>
      <c r="H72" s="23">
        <f t="shared" si="5"/>
        <v>0.03</v>
      </c>
      <c r="I72" s="23"/>
      <c r="J72" s="20"/>
      <c r="K72" s="20"/>
    </row>
    <row r="73" spans="2:11" x14ac:dyDescent="0.3">
      <c r="B73" s="23">
        <v>13.5</v>
      </c>
      <c r="C73" s="23"/>
      <c r="D73" s="23">
        <v>50</v>
      </c>
      <c r="E73" s="23"/>
      <c r="F73" s="23">
        <f t="shared" si="4"/>
        <v>1.5</v>
      </c>
      <c r="G73" s="23"/>
      <c r="H73" s="23">
        <f t="shared" si="5"/>
        <v>0.03</v>
      </c>
      <c r="I73" s="23"/>
      <c r="J73" s="20"/>
      <c r="K73" s="20"/>
    </row>
    <row r="74" spans="2:11" x14ac:dyDescent="0.3">
      <c r="B74" s="23">
        <v>15</v>
      </c>
      <c r="C74" s="23"/>
      <c r="D74" s="23">
        <v>50</v>
      </c>
      <c r="E74" s="23"/>
      <c r="F74" s="23">
        <f t="shared" si="4"/>
        <v>1.5</v>
      </c>
      <c r="G74" s="23"/>
      <c r="H74" s="23">
        <f t="shared" si="5"/>
        <v>0.03</v>
      </c>
      <c r="I74" s="23"/>
      <c r="J74" s="20"/>
      <c r="K74" s="20"/>
    </row>
    <row r="75" spans="2:11" x14ac:dyDescent="0.3">
      <c r="B75" s="22" t="s">
        <v>6</v>
      </c>
      <c r="C75" s="22"/>
      <c r="D75" s="23"/>
      <c r="E75" s="23"/>
      <c r="F75" s="23">
        <f>SUM(F62:G74)</f>
        <v>15</v>
      </c>
      <c r="G75" s="23"/>
      <c r="H75" s="23">
        <f>SUM(H62:I74)</f>
        <v>1.0285714285714287</v>
      </c>
      <c r="I75" s="23"/>
      <c r="J75" s="20"/>
      <c r="K75" s="20"/>
    </row>
    <row r="78" spans="2:11" x14ac:dyDescent="0.3">
      <c r="B78" s="21" t="s">
        <v>15</v>
      </c>
      <c r="C78" s="21"/>
      <c r="D78" s="21"/>
      <c r="E78" s="21"/>
    </row>
    <row r="79" spans="2:11" x14ac:dyDescent="0.3">
      <c r="B79" s="21"/>
      <c r="C79" s="21"/>
      <c r="D79" s="21"/>
      <c r="E79" s="21"/>
    </row>
    <row r="83" spans="2:11" ht="21" x14ac:dyDescent="0.3">
      <c r="B83" s="24" t="s">
        <v>10</v>
      </c>
      <c r="C83" s="24"/>
      <c r="D83" s="24"/>
    </row>
    <row r="84" spans="2:11" ht="21" x14ac:dyDescent="0.3">
      <c r="B84" s="25"/>
      <c r="C84" s="25"/>
      <c r="D84" s="25"/>
    </row>
    <row r="85" spans="2:11" ht="21" x14ac:dyDescent="0.3">
      <c r="B85" s="24" t="s">
        <v>0</v>
      </c>
      <c r="C85" s="24"/>
      <c r="D85" s="24"/>
      <c r="E85" s="24"/>
      <c r="F85" s="24"/>
    </row>
    <row r="86" spans="2:11" ht="21" x14ac:dyDescent="0.3">
      <c r="B86" s="24"/>
      <c r="C86" s="24"/>
      <c r="D86" s="24"/>
      <c r="E86" s="24"/>
      <c r="F86" s="24"/>
    </row>
    <row r="88" spans="2:11" x14ac:dyDescent="0.3">
      <c r="B88" s="23" t="s">
        <v>5</v>
      </c>
      <c r="C88" s="23"/>
      <c r="D88" s="23" t="s">
        <v>2</v>
      </c>
      <c r="E88" s="23"/>
      <c r="F88" s="23" t="s">
        <v>3</v>
      </c>
      <c r="G88" s="23"/>
      <c r="H88" s="23" t="s">
        <v>4</v>
      </c>
      <c r="I88" s="23"/>
      <c r="J88" s="22" t="s">
        <v>7</v>
      </c>
      <c r="K88" s="22"/>
    </row>
    <row r="89" spans="2:11" x14ac:dyDescent="0.3">
      <c r="B89" s="23">
        <v>0</v>
      </c>
      <c r="C89" s="23"/>
      <c r="D89" s="23">
        <v>0</v>
      </c>
      <c r="E89" s="23"/>
      <c r="F89" s="23">
        <v>0</v>
      </c>
      <c r="G89" s="23"/>
      <c r="H89" s="23">
        <v>0</v>
      </c>
      <c r="I89" s="23"/>
      <c r="J89" s="20">
        <f>F102/H102</f>
        <v>42.682926829268297</v>
      </c>
      <c r="K89" s="20"/>
    </row>
    <row r="90" spans="2:11" x14ac:dyDescent="0.3">
      <c r="B90" s="23">
        <v>1</v>
      </c>
      <c r="C90" s="23"/>
      <c r="D90" s="23">
        <v>14</v>
      </c>
      <c r="E90" s="23"/>
      <c r="F90" s="23">
        <f>B90-B89</f>
        <v>1</v>
      </c>
      <c r="G90" s="23"/>
      <c r="H90" s="23">
        <f>F90/D90</f>
        <v>7.1428571428571425E-2</v>
      </c>
      <c r="I90" s="23"/>
      <c r="J90" s="20"/>
      <c r="K90" s="20"/>
    </row>
    <row r="91" spans="2:11" x14ac:dyDescent="0.3">
      <c r="B91" s="23">
        <v>2</v>
      </c>
      <c r="C91" s="23"/>
      <c r="D91" s="23">
        <v>50</v>
      </c>
      <c r="E91" s="23"/>
      <c r="F91" s="23">
        <f>B91-B90</f>
        <v>1</v>
      </c>
      <c r="G91" s="23"/>
      <c r="H91" s="23">
        <f>F91/D91</f>
        <v>0.02</v>
      </c>
      <c r="I91" s="23"/>
      <c r="J91" s="20"/>
      <c r="K91" s="20"/>
    </row>
    <row r="92" spans="2:11" x14ac:dyDescent="0.3">
      <c r="B92" s="23">
        <v>3</v>
      </c>
      <c r="C92" s="23"/>
      <c r="D92" s="23">
        <v>50</v>
      </c>
      <c r="E92" s="23"/>
      <c r="F92" s="23">
        <f>B92-B91</f>
        <v>1</v>
      </c>
      <c r="G92" s="23"/>
      <c r="H92" s="23">
        <f>F92/D92</f>
        <v>0.02</v>
      </c>
      <c r="I92" s="23"/>
      <c r="J92" s="20"/>
      <c r="K92" s="20"/>
    </row>
    <row r="93" spans="2:11" x14ac:dyDescent="0.3">
      <c r="B93" s="23">
        <v>4</v>
      </c>
      <c r="C93" s="23"/>
      <c r="D93" s="23">
        <v>50</v>
      </c>
      <c r="E93" s="23"/>
      <c r="F93" s="23">
        <f>B93-B92</f>
        <v>1</v>
      </c>
      <c r="G93" s="23"/>
      <c r="H93" s="23">
        <f>F93/D93</f>
        <v>0.02</v>
      </c>
      <c r="I93" s="23"/>
      <c r="J93" s="20"/>
      <c r="K93" s="20"/>
    </row>
    <row r="94" spans="2:11" x14ac:dyDescent="0.3">
      <c r="B94" s="23">
        <v>5</v>
      </c>
      <c r="C94" s="23"/>
      <c r="D94" s="23">
        <v>50</v>
      </c>
      <c r="E94" s="23"/>
      <c r="F94" s="23">
        <f>B94-B93</f>
        <v>1</v>
      </c>
      <c r="G94" s="23"/>
      <c r="H94" s="23">
        <f>F94/D94</f>
        <v>0.02</v>
      </c>
      <c r="I94" s="23"/>
      <c r="J94" s="20"/>
      <c r="K94" s="20"/>
    </row>
    <row r="95" spans="2:11" x14ac:dyDescent="0.3">
      <c r="B95" s="23">
        <v>6</v>
      </c>
      <c r="C95" s="23"/>
      <c r="D95" s="23">
        <v>50</v>
      </c>
      <c r="E95" s="23"/>
      <c r="F95" s="23">
        <f>B95-B94</f>
        <v>1</v>
      </c>
      <c r="G95" s="23"/>
      <c r="H95" s="23">
        <f>F95/D95</f>
        <v>0.02</v>
      </c>
      <c r="I95" s="23"/>
      <c r="J95" s="20"/>
      <c r="K95" s="20"/>
    </row>
    <row r="96" spans="2:11" x14ac:dyDescent="0.3">
      <c r="B96" s="23">
        <v>7.5</v>
      </c>
      <c r="C96" s="23"/>
      <c r="D96" s="23">
        <v>50</v>
      </c>
      <c r="E96" s="23"/>
      <c r="F96" s="23">
        <f>B96-B95</f>
        <v>1.5</v>
      </c>
      <c r="G96" s="23"/>
      <c r="H96" s="23">
        <f>F96/D96</f>
        <v>0.03</v>
      </c>
      <c r="I96" s="23"/>
      <c r="J96" s="20"/>
      <c r="K96" s="20"/>
    </row>
    <row r="97" spans="2:11" x14ac:dyDescent="0.3">
      <c r="B97" s="23">
        <v>9</v>
      </c>
      <c r="C97" s="23"/>
      <c r="D97" s="23">
        <v>50</v>
      </c>
      <c r="E97" s="23"/>
      <c r="F97" s="23">
        <f>B97-B96</f>
        <v>1.5</v>
      </c>
      <c r="G97" s="23"/>
      <c r="H97" s="23">
        <f>F97/D97</f>
        <v>0.03</v>
      </c>
      <c r="I97" s="23"/>
      <c r="J97" s="20"/>
      <c r="K97" s="20"/>
    </row>
    <row r="98" spans="2:11" x14ac:dyDescent="0.3">
      <c r="B98" s="23">
        <v>10.5</v>
      </c>
      <c r="C98" s="23"/>
      <c r="D98" s="23">
        <v>50</v>
      </c>
      <c r="E98" s="23"/>
      <c r="F98" s="23">
        <f>B98-B97</f>
        <v>1.5</v>
      </c>
      <c r="G98" s="23"/>
      <c r="H98" s="23">
        <f>F98/D98</f>
        <v>0.03</v>
      </c>
      <c r="I98" s="23"/>
      <c r="J98" s="20"/>
      <c r="K98" s="20"/>
    </row>
    <row r="99" spans="2:11" x14ac:dyDescent="0.3">
      <c r="B99" s="23">
        <v>12</v>
      </c>
      <c r="C99" s="23"/>
      <c r="D99" s="23">
        <v>50</v>
      </c>
      <c r="E99" s="23"/>
      <c r="F99" s="23">
        <f>B99-B98</f>
        <v>1.5</v>
      </c>
      <c r="G99" s="23"/>
      <c r="H99" s="23">
        <f>F99/D99</f>
        <v>0.03</v>
      </c>
      <c r="I99" s="23"/>
      <c r="J99" s="20"/>
      <c r="K99" s="20"/>
    </row>
    <row r="100" spans="2:11" x14ac:dyDescent="0.3">
      <c r="B100" s="23">
        <v>13.5</v>
      </c>
      <c r="C100" s="23"/>
      <c r="D100" s="23">
        <v>50</v>
      </c>
      <c r="E100" s="23"/>
      <c r="F100" s="23">
        <f>B100-B99</f>
        <v>1.5</v>
      </c>
      <c r="G100" s="23"/>
      <c r="H100" s="23">
        <f>F100/D100</f>
        <v>0.03</v>
      </c>
      <c r="I100" s="23"/>
      <c r="J100" s="20"/>
      <c r="K100" s="20"/>
    </row>
    <row r="101" spans="2:11" x14ac:dyDescent="0.3">
      <c r="B101" s="23">
        <v>15</v>
      </c>
      <c r="C101" s="23"/>
      <c r="D101" s="23">
        <v>50</v>
      </c>
      <c r="E101" s="23"/>
      <c r="F101" s="23">
        <f>B101-B100</f>
        <v>1.5</v>
      </c>
      <c r="G101" s="23"/>
      <c r="H101" s="23">
        <f>F101/D101</f>
        <v>0.03</v>
      </c>
      <c r="I101" s="23"/>
      <c r="J101" s="20"/>
      <c r="K101" s="20"/>
    </row>
    <row r="102" spans="2:11" x14ac:dyDescent="0.3">
      <c r="B102" s="22" t="s">
        <v>6</v>
      </c>
      <c r="C102" s="22"/>
      <c r="D102" s="23"/>
      <c r="E102" s="23"/>
      <c r="F102" s="23">
        <f>SUM(F89:G101)</f>
        <v>15</v>
      </c>
      <c r="G102" s="23"/>
      <c r="H102" s="23">
        <f>SUM(H89:I101)</f>
        <v>0.35142857142857142</v>
      </c>
      <c r="I102" s="23"/>
      <c r="J102" s="20"/>
      <c r="K102" s="20"/>
    </row>
    <row r="105" spans="2:11" ht="21" x14ac:dyDescent="0.3">
      <c r="B105" s="21" t="s">
        <v>14</v>
      </c>
      <c r="C105" s="21"/>
      <c r="D105" s="21"/>
      <c r="E105" s="21"/>
    </row>
    <row r="106" spans="2:11" ht="21" x14ac:dyDescent="0.3">
      <c r="B106" s="21"/>
      <c r="C106" s="21"/>
      <c r="D106" s="21"/>
      <c r="E106" s="21"/>
    </row>
    <row r="110" spans="2:11" ht="21" x14ac:dyDescent="0.3">
      <c r="B110" s="24" t="s">
        <v>11</v>
      </c>
      <c r="C110" s="24"/>
      <c r="D110" s="24"/>
    </row>
    <row r="111" spans="2:11" ht="21" x14ac:dyDescent="0.3">
      <c r="B111" s="25"/>
      <c r="C111" s="25"/>
      <c r="D111" s="25"/>
    </row>
    <row r="112" spans="2:11" ht="21" x14ac:dyDescent="0.3">
      <c r="B112" s="24" t="s">
        <v>0</v>
      </c>
      <c r="C112" s="24"/>
      <c r="D112" s="24"/>
      <c r="E112" s="24"/>
      <c r="F112" s="24"/>
    </row>
    <row r="113" spans="2:11" ht="21" x14ac:dyDescent="0.3">
      <c r="B113" s="24"/>
      <c r="C113" s="24"/>
      <c r="D113" s="24"/>
      <c r="E113" s="24"/>
      <c r="F113" s="24"/>
    </row>
    <row r="115" spans="2:11" x14ac:dyDescent="0.3">
      <c r="B115" s="23" t="s">
        <v>5</v>
      </c>
      <c r="C115" s="23"/>
      <c r="D115" s="23" t="s">
        <v>2</v>
      </c>
      <c r="E115" s="23"/>
      <c r="F115" s="23" t="s">
        <v>3</v>
      </c>
      <c r="G115" s="23"/>
      <c r="H115" s="23" t="s">
        <v>4</v>
      </c>
      <c r="I115" s="23"/>
      <c r="J115" s="22" t="s">
        <v>7</v>
      </c>
      <c r="K115" s="22"/>
    </row>
    <row r="116" spans="2:11" x14ac:dyDescent="0.3">
      <c r="B116" s="23">
        <v>0</v>
      </c>
      <c r="C116" s="23"/>
      <c r="D116" s="23">
        <v>0</v>
      </c>
      <c r="E116" s="23"/>
      <c r="F116" s="23">
        <v>0</v>
      </c>
      <c r="G116" s="23"/>
      <c r="H116" s="23">
        <v>0</v>
      </c>
      <c r="I116" s="23"/>
      <c r="J116" s="20">
        <f>F129/H129</f>
        <v>40.595535620468318</v>
      </c>
      <c r="K116" s="20"/>
    </row>
    <row r="117" spans="2:11" x14ac:dyDescent="0.3">
      <c r="B117" s="23">
        <v>1</v>
      </c>
      <c r="C117" s="23"/>
      <c r="D117" s="23">
        <v>13</v>
      </c>
      <c r="E117" s="23"/>
      <c r="F117" s="23">
        <f>B117-B116</f>
        <v>1</v>
      </c>
      <c r="G117" s="23"/>
      <c r="H117" s="23">
        <f>F117/D117</f>
        <v>7.6923076923076927E-2</v>
      </c>
      <c r="I117" s="23"/>
      <c r="J117" s="20"/>
      <c r="K117" s="20"/>
    </row>
    <row r="118" spans="2:11" x14ac:dyDescent="0.3">
      <c r="B118" s="23">
        <v>2</v>
      </c>
      <c r="C118" s="23"/>
      <c r="D118" s="23">
        <v>37</v>
      </c>
      <c r="E118" s="23"/>
      <c r="F118" s="23">
        <f>B118-B117</f>
        <v>1</v>
      </c>
      <c r="G118" s="23"/>
      <c r="H118" s="23">
        <f>F118/D118</f>
        <v>2.7027027027027029E-2</v>
      </c>
      <c r="I118" s="23"/>
      <c r="J118" s="20"/>
      <c r="K118" s="20"/>
    </row>
    <row r="119" spans="2:11" x14ac:dyDescent="0.3">
      <c r="B119" s="23">
        <v>3</v>
      </c>
      <c r="C119" s="23"/>
      <c r="D119" s="23">
        <v>42</v>
      </c>
      <c r="E119" s="23"/>
      <c r="F119" s="23">
        <f>B119-B118</f>
        <v>1</v>
      </c>
      <c r="G119" s="23"/>
      <c r="H119" s="23">
        <f>F119/D119</f>
        <v>2.3809523809523808E-2</v>
      </c>
      <c r="I119" s="23"/>
      <c r="J119" s="20"/>
      <c r="K119" s="20"/>
    </row>
    <row r="120" spans="2:11" x14ac:dyDescent="0.3">
      <c r="B120" s="23">
        <v>4</v>
      </c>
      <c r="C120" s="23"/>
      <c r="D120" s="23">
        <v>46</v>
      </c>
      <c r="E120" s="23"/>
      <c r="F120" s="23">
        <f>B120-B119</f>
        <v>1</v>
      </c>
      <c r="G120" s="23"/>
      <c r="H120" s="23">
        <f>F120/D120</f>
        <v>2.1739130434782608E-2</v>
      </c>
      <c r="I120" s="23"/>
      <c r="J120" s="20"/>
      <c r="K120" s="20"/>
    </row>
    <row r="121" spans="2:11" x14ac:dyDescent="0.3">
      <c r="B121" s="23">
        <v>5</v>
      </c>
      <c r="C121" s="23"/>
      <c r="D121" s="23">
        <v>50</v>
      </c>
      <c r="E121" s="23"/>
      <c r="F121" s="23">
        <f>B121-B120</f>
        <v>1</v>
      </c>
      <c r="G121" s="23"/>
      <c r="H121" s="23">
        <f>F121/D121</f>
        <v>0.02</v>
      </c>
      <c r="I121" s="23"/>
      <c r="J121" s="20"/>
      <c r="K121" s="20"/>
    </row>
    <row r="122" spans="2:11" x14ac:dyDescent="0.3">
      <c r="B122" s="23">
        <v>6</v>
      </c>
      <c r="C122" s="23"/>
      <c r="D122" s="23">
        <v>50</v>
      </c>
      <c r="E122" s="23"/>
      <c r="F122" s="23">
        <f>B122-B121</f>
        <v>1</v>
      </c>
      <c r="G122" s="23"/>
      <c r="H122" s="23">
        <f>F122/D122</f>
        <v>0.02</v>
      </c>
      <c r="I122" s="23"/>
      <c r="J122" s="20"/>
      <c r="K122" s="20"/>
    </row>
    <row r="123" spans="2:11" x14ac:dyDescent="0.3">
      <c r="B123" s="23">
        <v>7.5</v>
      </c>
      <c r="C123" s="23"/>
      <c r="D123" s="23">
        <v>50</v>
      </c>
      <c r="E123" s="23"/>
      <c r="F123" s="23">
        <f>B123-B122</f>
        <v>1.5</v>
      </c>
      <c r="G123" s="23"/>
      <c r="H123" s="23">
        <f>F123/D123</f>
        <v>0.03</v>
      </c>
      <c r="I123" s="23"/>
      <c r="J123" s="20"/>
      <c r="K123" s="20"/>
    </row>
    <row r="124" spans="2:11" x14ac:dyDescent="0.3">
      <c r="B124" s="23">
        <v>9</v>
      </c>
      <c r="C124" s="23"/>
      <c r="D124" s="23">
        <v>50</v>
      </c>
      <c r="E124" s="23"/>
      <c r="F124" s="23">
        <f>B124-B123</f>
        <v>1.5</v>
      </c>
      <c r="G124" s="23"/>
      <c r="H124" s="23">
        <f>F124/D124</f>
        <v>0.03</v>
      </c>
      <c r="I124" s="23"/>
      <c r="J124" s="20"/>
      <c r="K124" s="20"/>
    </row>
    <row r="125" spans="2:11" x14ac:dyDescent="0.3">
      <c r="B125" s="23">
        <v>10.5</v>
      </c>
      <c r="C125" s="23"/>
      <c r="D125" s="23">
        <v>50</v>
      </c>
      <c r="E125" s="23"/>
      <c r="F125" s="23">
        <f>B125-B124</f>
        <v>1.5</v>
      </c>
      <c r="G125" s="23"/>
      <c r="H125" s="23">
        <f>F125/D125</f>
        <v>0.03</v>
      </c>
      <c r="I125" s="23"/>
      <c r="J125" s="20"/>
      <c r="K125" s="20"/>
    </row>
    <row r="126" spans="2:11" x14ac:dyDescent="0.3">
      <c r="B126" s="23">
        <v>12</v>
      </c>
      <c r="C126" s="23"/>
      <c r="D126" s="23">
        <v>50</v>
      </c>
      <c r="E126" s="23"/>
      <c r="F126" s="23">
        <f>B126-B125</f>
        <v>1.5</v>
      </c>
      <c r="G126" s="23"/>
      <c r="H126" s="23">
        <f>F126/D126</f>
        <v>0.03</v>
      </c>
      <c r="I126" s="23"/>
      <c r="J126" s="20"/>
      <c r="K126" s="20"/>
    </row>
    <row r="127" spans="2:11" x14ac:dyDescent="0.3">
      <c r="B127" s="23">
        <v>13.5</v>
      </c>
      <c r="C127" s="23"/>
      <c r="D127" s="23">
        <v>50</v>
      </c>
      <c r="E127" s="23"/>
      <c r="F127" s="23">
        <f>B127-B126</f>
        <v>1.5</v>
      </c>
      <c r="G127" s="23"/>
      <c r="H127" s="23">
        <f>F127/D127</f>
        <v>0.03</v>
      </c>
      <c r="I127" s="23"/>
      <c r="J127" s="20"/>
      <c r="K127" s="20"/>
    </row>
    <row r="128" spans="2:11" x14ac:dyDescent="0.3">
      <c r="B128" s="23">
        <v>15</v>
      </c>
      <c r="C128" s="23"/>
      <c r="D128" s="23">
        <v>50</v>
      </c>
      <c r="E128" s="23"/>
      <c r="F128" s="23">
        <f>B128-B127</f>
        <v>1.5</v>
      </c>
      <c r="G128" s="23"/>
      <c r="H128" s="23">
        <f>F128/D128</f>
        <v>0.03</v>
      </c>
      <c r="I128" s="23"/>
      <c r="J128" s="20"/>
      <c r="K128" s="20"/>
    </row>
    <row r="129" spans="2:11" x14ac:dyDescent="0.3">
      <c r="B129" s="22" t="s">
        <v>6</v>
      </c>
      <c r="C129" s="22"/>
      <c r="D129" s="23"/>
      <c r="E129" s="23"/>
      <c r="F129" s="23">
        <f>SUM(F116:G128)</f>
        <v>15</v>
      </c>
      <c r="G129" s="23"/>
      <c r="H129" s="23">
        <f>SUM(H116:I128)</f>
        <v>0.36949875819441047</v>
      </c>
      <c r="I129" s="23"/>
      <c r="J129" s="20"/>
      <c r="K129" s="20"/>
    </row>
    <row r="132" spans="2:11" ht="21" x14ac:dyDescent="0.3">
      <c r="B132" s="21" t="s">
        <v>14</v>
      </c>
      <c r="C132" s="21"/>
      <c r="D132" s="21"/>
      <c r="E132" s="21"/>
    </row>
    <row r="133" spans="2:11" ht="21" x14ac:dyDescent="0.3">
      <c r="B133" s="21"/>
      <c r="C133" s="21"/>
      <c r="D133" s="21"/>
      <c r="E133" s="21"/>
    </row>
    <row r="137" spans="2:11" ht="21" x14ac:dyDescent="0.3">
      <c r="B137" s="24" t="s">
        <v>12</v>
      </c>
      <c r="C137" s="24"/>
      <c r="D137" s="24"/>
    </row>
    <row r="138" spans="2:11" ht="21" x14ac:dyDescent="0.3">
      <c r="B138" s="25"/>
      <c r="C138" s="25"/>
      <c r="D138" s="25"/>
    </row>
    <row r="139" spans="2:11" ht="21" x14ac:dyDescent="0.3">
      <c r="B139" s="24" t="s">
        <v>0</v>
      </c>
      <c r="C139" s="24"/>
      <c r="D139" s="24"/>
      <c r="E139" s="24"/>
      <c r="F139" s="24"/>
    </row>
    <row r="140" spans="2:11" ht="21" x14ac:dyDescent="0.3">
      <c r="B140" s="24"/>
      <c r="C140" s="24"/>
      <c r="D140" s="24"/>
      <c r="E140" s="24"/>
      <c r="F140" s="24"/>
    </row>
    <row r="142" spans="2:11" x14ac:dyDescent="0.3">
      <c r="B142" s="23" t="s">
        <v>5</v>
      </c>
      <c r="C142" s="23"/>
      <c r="D142" s="23" t="s">
        <v>2</v>
      </c>
      <c r="E142" s="23"/>
      <c r="F142" s="23" t="s">
        <v>3</v>
      </c>
      <c r="G142" s="23"/>
      <c r="H142" s="23" t="s">
        <v>4</v>
      </c>
      <c r="I142" s="23"/>
      <c r="J142" s="22" t="s">
        <v>7</v>
      </c>
      <c r="K142" s="22"/>
    </row>
    <row r="143" spans="2:11" x14ac:dyDescent="0.3">
      <c r="B143" s="23">
        <v>0</v>
      </c>
      <c r="C143" s="23"/>
      <c r="D143" s="23">
        <v>0</v>
      </c>
      <c r="E143" s="23"/>
      <c r="F143" s="23">
        <v>0</v>
      </c>
      <c r="G143" s="23"/>
      <c r="H143" s="23">
        <v>0</v>
      </c>
      <c r="I143" s="23"/>
      <c r="J143" s="20">
        <f>F156/H156</f>
        <v>39.772727272727266</v>
      </c>
      <c r="K143" s="20"/>
    </row>
    <row r="144" spans="2:11" x14ac:dyDescent="0.3">
      <c r="B144" s="23">
        <v>1</v>
      </c>
      <c r="C144" s="23"/>
      <c r="D144" s="23">
        <v>16</v>
      </c>
      <c r="E144" s="23"/>
      <c r="F144" s="23">
        <f>B144-B143</f>
        <v>1</v>
      </c>
      <c r="G144" s="23"/>
      <c r="H144" s="23">
        <f>F144/D144</f>
        <v>6.25E-2</v>
      </c>
      <c r="I144" s="23"/>
      <c r="J144" s="20"/>
      <c r="K144" s="20"/>
    </row>
    <row r="145" spans="2:11" x14ac:dyDescent="0.3">
      <c r="B145" s="23">
        <v>2</v>
      </c>
      <c r="C145" s="23"/>
      <c r="D145" s="23">
        <v>20</v>
      </c>
      <c r="E145" s="23"/>
      <c r="F145" s="23">
        <f>B145-B144</f>
        <v>1</v>
      </c>
      <c r="G145" s="23"/>
      <c r="H145" s="23">
        <f>F145/D145</f>
        <v>0.05</v>
      </c>
      <c r="I145" s="23"/>
      <c r="J145" s="20"/>
      <c r="K145" s="20"/>
    </row>
    <row r="146" spans="2:11" x14ac:dyDescent="0.3">
      <c r="B146" s="23">
        <v>3</v>
      </c>
      <c r="C146" s="23"/>
      <c r="D146" s="23">
        <v>42</v>
      </c>
      <c r="E146" s="23"/>
      <c r="F146" s="23">
        <f>B146-B145</f>
        <v>1</v>
      </c>
      <c r="G146" s="23"/>
      <c r="H146" s="23">
        <f>F146/D146</f>
        <v>2.3809523809523808E-2</v>
      </c>
      <c r="I146" s="23"/>
      <c r="J146" s="20"/>
      <c r="K146" s="20"/>
    </row>
    <row r="147" spans="2:11" x14ac:dyDescent="0.3">
      <c r="B147" s="23">
        <v>4</v>
      </c>
      <c r="C147" s="23"/>
      <c r="D147" s="23">
        <v>48</v>
      </c>
      <c r="E147" s="23"/>
      <c r="F147" s="23">
        <f>B147-B146</f>
        <v>1</v>
      </c>
      <c r="G147" s="23"/>
      <c r="H147" s="23">
        <f>F147/D147</f>
        <v>2.0833333333333332E-2</v>
      </c>
      <c r="I147" s="23"/>
      <c r="J147" s="20"/>
      <c r="K147" s="20"/>
    </row>
    <row r="148" spans="2:11" x14ac:dyDescent="0.3">
      <c r="B148" s="23">
        <v>5</v>
      </c>
      <c r="C148" s="23"/>
      <c r="D148" s="23">
        <v>50</v>
      </c>
      <c r="E148" s="23"/>
      <c r="F148" s="23">
        <f>B148-B147</f>
        <v>1</v>
      </c>
      <c r="G148" s="23"/>
      <c r="H148" s="23">
        <f>F148/D148</f>
        <v>0.02</v>
      </c>
      <c r="I148" s="23"/>
      <c r="J148" s="20"/>
      <c r="K148" s="20"/>
    </row>
    <row r="149" spans="2:11" x14ac:dyDescent="0.3">
      <c r="B149" s="23">
        <v>6</v>
      </c>
      <c r="C149" s="23"/>
      <c r="D149" s="23">
        <v>50</v>
      </c>
      <c r="E149" s="23"/>
      <c r="F149" s="23">
        <f>B149-B148</f>
        <v>1</v>
      </c>
      <c r="G149" s="23"/>
      <c r="H149" s="23">
        <f>F149/D149</f>
        <v>0.02</v>
      </c>
      <c r="I149" s="23"/>
      <c r="J149" s="20"/>
      <c r="K149" s="20"/>
    </row>
    <row r="150" spans="2:11" x14ac:dyDescent="0.3">
      <c r="B150" s="23">
        <v>7.5</v>
      </c>
      <c r="C150" s="23"/>
      <c r="D150" s="23">
        <v>50</v>
      </c>
      <c r="E150" s="23"/>
      <c r="F150" s="23">
        <f>B150-B149</f>
        <v>1.5</v>
      </c>
      <c r="G150" s="23"/>
      <c r="H150" s="23">
        <f>F150/D150</f>
        <v>0.03</v>
      </c>
      <c r="I150" s="23"/>
      <c r="J150" s="20"/>
      <c r="K150" s="20"/>
    </row>
    <row r="151" spans="2:11" x14ac:dyDescent="0.3">
      <c r="B151" s="23">
        <v>9</v>
      </c>
      <c r="C151" s="23"/>
      <c r="D151" s="23">
        <v>50</v>
      </c>
      <c r="E151" s="23"/>
      <c r="F151" s="23">
        <f>B151-B150</f>
        <v>1.5</v>
      </c>
      <c r="G151" s="23"/>
      <c r="H151" s="23">
        <f>F151/D151</f>
        <v>0.03</v>
      </c>
      <c r="I151" s="23"/>
      <c r="J151" s="20"/>
      <c r="K151" s="20"/>
    </row>
    <row r="152" spans="2:11" x14ac:dyDescent="0.3">
      <c r="B152" s="23">
        <v>10.5</v>
      </c>
      <c r="C152" s="23"/>
      <c r="D152" s="23">
        <v>50</v>
      </c>
      <c r="E152" s="23"/>
      <c r="F152" s="23">
        <f>B152-B151</f>
        <v>1.5</v>
      </c>
      <c r="G152" s="23"/>
      <c r="H152" s="23">
        <f>F152/D152</f>
        <v>0.03</v>
      </c>
      <c r="I152" s="23"/>
      <c r="J152" s="20"/>
      <c r="K152" s="20"/>
    </row>
    <row r="153" spans="2:11" x14ac:dyDescent="0.3">
      <c r="B153" s="23">
        <v>12</v>
      </c>
      <c r="C153" s="23"/>
      <c r="D153" s="23">
        <v>50</v>
      </c>
      <c r="E153" s="23"/>
      <c r="F153" s="23">
        <f>B153-B152</f>
        <v>1.5</v>
      </c>
      <c r="G153" s="23"/>
      <c r="H153" s="23">
        <f>F153/D153</f>
        <v>0.03</v>
      </c>
      <c r="I153" s="23"/>
      <c r="J153" s="20"/>
      <c r="K153" s="20"/>
    </row>
    <row r="154" spans="2:11" x14ac:dyDescent="0.3">
      <c r="B154" s="23">
        <v>13.5</v>
      </c>
      <c r="C154" s="23"/>
      <c r="D154" s="23">
        <v>50</v>
      </c>
      <c r="E154" s="23"/>
      <c r="F154" s="23">
        <f>B154-B153</f>
        <v>1.5</v>
      </c>
      <c r="G154" s="23"/>
      <c r="H154" s="23">
        <f>F154/D154</f>
        <v>0.03</v>
      </c>
      <c r="I154" s="23"/>
      <c r="J154" s="20"/>
      <c r="K154" s="20"/>
    </row>
    <row r="155" spans="2:11" x14ac:dyDescent="0.3">
      <c r="B155" s="23">
        <v>15</v>
      </c>
      <c r="C155" s="23"/>
      <c r="D155" s="23">
        <v>50</v>
      </c>
      <c r="E155" s="23"/>
      <c r="F155" s="23">
        <f>B155-B154</f>
        <v>1.5</v>
      </c>
      <c r="G155" s="23"/>
      <c r="H155" s="23">
        <f>F155/D155</f>
        <v>0.03</v>
      </c>
      <c r="I155" s="23"/>
      <c r="J155" s="20"/>
      <c r="K155" s="20"/>
    </row>
    <row r="156" spans="2:11" x14ac:dyDescent="0.3">
      <c r="B156" s="22" t="s">
        <v>6</v>
      </c>
      <c r="C156" s="22"/>
      <c r="D156" s="23"/>
      <c r="E156" s="23"/>
      <c r="F156" s="23">
        <f>SUM(F143:G155)</f>
        <v>15</v>
      </c>
      <c r="G156" s="23"/>
      <c r="H156" s="23">
        <f>SUM(H143:I155)</f>
        <v>0.37714285714285722</v>
      </c>
      <c r="I156" s="23"/>
      <c r="J156" s="20"/>
      <c r="K156" s="20"/>
    </row>
    <row r="159" spans="2:11" ht="21" x14ac:dyDescent="0.3">
      <c r="B159" s="21" t="s">
        <v>14</v>
      </c>
      <c r="C159" s="21"/>
      <c r="D159" s="21"/>
      <c r="E159" s="21"/>
    </row>
    <row r="160" spans="2:11" ht="21" x14ac:dyDescent="0.3">
      <c r="B160" s="21"/>
      <c r="C160" s="21"/>
      <c r="D160" s="21"/>
      <c r="E160" s="21"/>
    </row>
    <row r="164" spans="2:11" ht="21" x14ac:dyDescent="0.3">
      <c r="B164" s="24" t="s">
        <v>13</v>
      </c>
      <c r="C164" s="24"/>
      <c r="D164" s="24"/>
    </row>
    <row r="165" spans="2:11" ht="21" x14ac:dyDescent="0.3">
      <c r="B165" s="25"/>
      <c r="C165" s="25"/>
      <c r="D165" s="25"/>
    </row>
    <row r="166" spans="2:11" ht="21" x14ac:dyDescent="0.3">
      <c r="B166" s="24" t="s">
        <v>0</v>
      </c>
      <c r="C166" s="24"/>
      <c r="D166" s="24"/>
      <c r="E166" s="24"/>
      <c r="F166" s="24"/>
    </row>
    <row r="167" spans="2:11" ht="21" x14ac:dyDescent="0.3">
      <c r="B167" s="24"/>
      <c r="C167" s="24"/>
      <c r="D167" s="24"/>
      <c r="E167" s="24"/>
      <c r="F167" s="24"/>
    </row>
    <row r="169" spans="2:11" x14ac:dyDescent="0.3">
      <c r="B169" s="23" t="s">
        <v>5</v>
      </c>
      <c r="C169" s="23"/>
      <c r="D169" s="23" t="s">
        <v>2</v>
      </c>
      <c r="E169" s="23"/>
      <c r="F169" s="23" t="s">
        <v>3</v>
      </c>
      <c r="G169" s="23"/>
      <c r="H169" s="23" t="s">
        <v>4</v>
      </c>
      <c r="I169" s="23"/>
      <c r="J169" s="22" t="s">
        <v>7</v>
      </c>
      <c r="K169" s="22"/>
    </row>
    <row r="170" spans="2:11" x14ac:dyDescent="0.3">
      <c r="B170" s="23">
        <v>0</v>
      </c>
      <c r="C170" s="23"/>
      <c r="D170" s="23">
        <v>0</v>
      </c>
      <c r="E170" s="23"/>
      <c r="F170" s="23">
        <v>0</v>
      </c>
      <c r="G170" s="23"/>
      <c r="H170" s="23">
        <v>0</v>
      </c>
      <c r="I170" s="23"/>
      <c r="J170" s="20">
        <f>F183/H183</f>
        <v>37.618357075833821</v>
      </c>
      <c r="K170" s="20"/>
    </row>
    <row r="171" spans="2:11" x14ac:dyDescent="0.3">
      <c r="B171" s="23">
        <v>1</v>
      </c>
      <c r="C171" s="23"/>
      <c r="D171" s="23">
        <v>12</v>
      </c>
      <c r="E171" s="23"/>
      <c r="F171" s="23">
        <f>B171-B170</f>
        <v>1</v>
      </c>
      <c r="G171" s="23"/>
      <c r="H171" s="23">
        <f>F171/D171</f>
        <v>8.3333333333333329E-2</v>
      </c>
      <c r="I171" s="23"/>
      <c r="J171" s="20"/>
      <c r="K171" s="20"/>
    </row>
    <row r="172" spans="2:11" x14ac:dyDescent="0.3">
      <c r="B172" s="23">
        <v>2</v>
      </c>
      <c r="C172" s="23"/>
      <c r="D172" s="23">
        <v>20</v>
      </c>
      <c r="E172" s="23"/>
      <c r="F172" s="23">
        <f>B172-B171</f>
        <v>1</v>
      </c>
      <c r="G172" s="23"/>
      <c r="H172" s="23">
        <f>F172/D172</f>
        <v>0.05</v>
      </c>
      <c r="I172" s="23"/>
      <c r="J172" s="20"/>
      <c r="K172" s="20"/>
    </row>
    <row r="173" spans="2:11" x14ac:dyDescent="0.3">
      <c r="B173" s="23">
        <v>3</v>
      </c>
      <c r="C173" s="23"/>
      <c r="D173" s="23">
        <v>40</v>
      </c>
      <c r="E173" s="23"/>
      <c r="F173" s="23">
        <f>B173-B172</f>
        <v>1</v>
      </c>
      <c r="G173" s="23"/>
      <c r="H173" s="23">
        <f>F173/D173</f>
        <v>2.5000000000000001E-2</v>
      </c>
      <c r="I173" s="23"/>
      <c r="J173" s="20"/>
      <c r="K173" s="20"/>
    </row>
    <row r="174" spans="2:11" x14ac:dyDescent="0.3">
      <c r="B174" s="23">
        <v>4</v>
      </c>
      <c r="C174" s="23"/>
      <c r="D174" s="23">
        <v>49</v>
      </c>
      <c r="E174" s="23"/>
      <c r="F174" s="23">
        <f>B174-B173</f>
        <v>1</v>
      </c>
      <c r="G174" s="23"/>
      <c r="H174" s="23">
        <f>F174/D174</f>
        <v>2.0408163265306121E-2</v>
      </c>
      <c r="I174" s="23"/>
      <c r="J174" s="20"/>
      <c r="K174" s="20"/>
    </row>
    <row r="175" spans="2:11" x14ac:dyDescent="0.3">
      <c r="B175" s="23">
        <v>5</v>
      </c>
      <c r="C175" s="23"/>
      <c r="D175" s="23">
        <v>50</v>
      </c>
      <c r="E175" s="23"/>
      <c r="F175" s="23">
        <f>B175-B174</f>
        <v>1</v>
      </c>
      <c r="G175" s="23"/>
      <c r="H175" s="23">
        <f>F175/D175</f>
        <v>0.02</v>
      </c>
      <c r="I175" s="23"/>
      <c r="J175" s="20"/>
      <c r="K175" s="20"/>
    </row>
    <row r="176" spans="2:11" x14ac:dyDescent="0.3">
      <c r="B176" s="23">
        <v>6</v>
      </c>
      <c r="C176" s="23"/>
      <c r="D176" s="23">
        <v>50</v>
      </c>
      <c r="E176" s="23"/>
      <c r="F176" s="23">
        <f>B176-B175</f>
        <v>1</v>
      </c>
      <c r="G176" s="23"/>
      <c r="H176" s="23">
        <f>F176/D176</f>
        <v>0.02</v>
      </c>
      <c r="I176" s="23"/>
      <c r="J176" s="20"/>
      <c r="K176" s="20"/>
    </row>
    <row r="177" spans="2:11" x14ac:dyDescent="0.3">
      <c r="B177" s="23">
        <v>7.5</v>
      </c>
      <c r="C177" s="23"/>
      <c r="D177" s="23">
        <v>50</v>
      </c>
      <c r="E177" s="23"/>
      <c r="F177" s="23">
        <f>B177-B176</f>
        <v>1.5</v>
      </c>
      <c r="G177" s="23"/>
      <c r="H177" s="23">
        <f>F177/D177</f>
        <v>0.03</v>
      </c>
      <c r="I177" s="23"/>
      <c r="J177" s="20"/>
      <c r="K177" s="20"/>
    </row>
    <row r="178" spans="2:11" x14ac:dyDescent="0.3">
      <c r="B178" s="23">
        <v>9</v>
      </c>
      <c r="C178" s="23"/>
      <c r="D178" s="23">
        <v>50</v>
      </c>
      <c r="E178" s="23"/>
      <c r="F178" s="23">
        <f>B178-B177</f>
        <v>1.5</v>
      </c>
      <c r="G178" s="23"/>
      <c r="H178" s="23">
        <f>F178/D178</f>
        <v>0.03</v>
      </c>
      <c r="I178" s="23"/>
      <c r="J178" s="20"/>
      <c r="K178" s="20"/>
    </row>
    <row r="179" spans="2:11" x14ac:dyDescent="0.3">
      <c r="B179" s="23">
        <v>10.5</v>
      </c>
      <c r="C179" s="23"/>
      <c r="D179" s="23">
        <v>50</v>
      </c>
      <c r="E179" s="23"/>
      <c r="F179" s="23">
        <f>B179-B178</f>
        <v>1.5</v>
      </c>
      <c r="G179" s="23"/>
      <c r="H179" s="23">
        <f>F179/D179</f>
        <v>0.03</v>
      </c>
      <c r="I179" s="23"/>
      <c r="J179" s="20"/>
      <c r="K179" s="20"/>
    </row>
    <row r="180" spans="2:11" x14ac:dyDescent="0.3">
      <c r="B180" s="23">
        <v>12</v>
      </c>
      <c r="C180" s="23"/>
      <c r="D180" s="23">
        <v>50</v>
      </c>
      <c r="E180" s="23"/>
      <c r="F180" s="23">
        <f>B180-B179</f>
        <v>1.5</v>
      </c>
      <c r="G180" s="23"/>
      <c r="H180" s="23">
        <f>F180/D180</f>
        <v>0.03</v>
      </c>
      <c r="I180" s="23"/>
      <c r="J180" s="20"/>
      <c r="K180" s="20"/>
    </row>
    <row r="181" spans="2:11" x14ac:dyDescent="0.3">
      <c r="B181" s="23">
        <v>13.5</v>
      </c>
      <c r="C181" s="23"/>
      <c r="D181" s="23">
        <v>50</v>
      </c>
      <c r="E181" s="23"/>
      <c r="F181" s="23">
        <f>B181-B180</f>
        <v>1.5</v>
      </c>
      <c r="G181" s="23"/>
      <c r="H181" s="23">
        <f>F181/D181</f>
        <v>0.03</v>
      </c>
      <c r="I181" s="23"/>
      <c r="J181" s="20"/>
      <c r="K181" s="20"/>
    </row>
    <row r="182" spans="2:11" x14ac:dyDescent="0.3">
      <c r="B182" s="23">
        <v>15</v>
      </c>
      <c r="C182" s="23"/>
      <c r="D182" s="23">
        <v>50</v>
      </c>
      <c r="E182" s="23"/>
      <c r="F182" s="23">
        <f>B182-B181</f>
        <v>1.5</v>
      </c>
      <c r="G182" s="23"/>
      <c r="H182" s="23">
        <f>F182/D182</f>
        <v>0.03</v>
      </c>
      <c r="I182" s="23"/>
      <c r="J182" s="20"/>
      <c r="K182" s="20"/>
    </row>
    <row r="183" spans="2:11" x14ac:dyDescent="0.3">
      <c r="B183" s="22" t="s">
        <v>6</v>
      </c>
      <c r="C183" s="22"/>
      <c r="D183" s="23"/>
      <c r="E183" s="23"/>
      <c r="F183" s="23">
        <f>SUM(F170:G182)</f>
        <v>15</v>
      </c>
      <c r="G183" s="23"/>
      <c r="H183" s="23">
        <f>SUM(H170:I182)</f>
        <v>0.39874149659863956</v>
      </c>
      <c r="I183" s="23"/>
      <c r="J183" s="20"/>
      <c r="K183" s="20"/>
    </row>
    <row r="186" spans="2:11" ht="21" x14ac:dyDescent="0.3">
      <c r="B186" s="21" t="s">
        <v>14</v>
      </c>
      <c r="C186" s="21"/>
      <c r="D186" s="21"/>
      <c r="E186" s="21"/>
    </row>
    <row r="187" spans="2:11" ht="21" x14ac:dyDescent="0.3">
      <c r="B187" s="21"/>
      <c r="C187" s="21"/>
      <c r="D187" s="21"/>
      <c r="E187" s="21"/>
    </row>
  </sheetData>
  <mergeCells count="455">
    <mergeCell ref="B181:C181"/>
    <mergeCell ref="D181:E181"/>
    <mergeCell ref="F181:G181"/>
    <mergeCell ref="H181:I181"/>
    <mergeCell ref="B186:E187"/>
    <mergeCell ref="B182:C182"/>
    <mergeCell ref="D182:E182"/>
    <mergeCell ref="F182:G182"/>
    <mergeCell ref="H182:I182"/>
    <mergeCell ref="B183:C183"/>
    <mergeCell ref="D183:E183"/>
    <mergeCell ref="F183:G183"/>
    <mergeCell ref="H183:I183"/>
    <mergeCell ref="B179:C179"/>
    <mergeCell ref="D179:E179"/>
    <mergeCell ref="F179:G179"/>
    <mergeCell ref="H179:I179"/>
    <mergeCell ref="B180:C180"/>
    <mergeCell ref="D180:E180"/>
    <mergeCell ref="F180:G180"/>
    <mergeCell ref="H180:I180"/>
    <mergeCell ref="B177:C177"/>
    <mergeCell ref="D177:E177"/>
    <mergeCell ref="F177:G177"/>
    <mergeCell ref="H177:I177"/>
    <mergeCell ref="B178:C178"/>
    <mergeCell ref="D178:E178"/>
    <mergeCell ref="F178:G178"/>
    <mergeCell ref="H178:I178"/>
    <mergeCell ref="B175:C175"/>
    <mergeCell ref="D175:E175"/>
    <mergeCell ref="F175:G175"/>
    <mergeCell ref="H175:I175"/>
    <mergeCell ref="B176:C176"/>
    <mergeCell ref="D176:E176"/>
    <mergeCell ref="F176:G176"/>
    <mergeCell ref="H176:I176"/>
    <mergeCell ref="D173:E173"/>
    <mergeCell ref="F173:G173"/>
    <mergeCell ref="H173:I173"/>
    <mergeCell ref="B174:C174"/>
    <mergeCell ref="D174:E174"/>
    <mergeCell ref="F174:G174"/>
    <mergeCell ref="H174:I174"/>
    <mergeCell ref="J169:K169"/>
    <mergeCell ref="B170:C170"/>
    <mergeCell ref="D170:E170"/>
    <mergeCell ref="F170:G170"/>
    <mergeCell ref="H170:I170"/>
    <mergeCell ref="J170:K183"/>
    <mergeCell ref="B171:C171"/>
    <mergeCell ref="D171:E171"/>
    <mergeCell ref="F171:G171"/>
    <mergeCell ref="H171:I171"/>
    <mergeCell ref="H169:I169"/>
    <mergeCell ref="B172:C172"/>
    <mergeCell ref="D172:E172"/>
    <mergeCell ref="F172:G172"/>
    <mergeCell ref="H172:I172"/>
    <mergeCell ref="B173:C173"/>
    <mergeCell ref="B164:D165"/>
    <mergeCell ref="B166:F167"/>
    <mergeCell ref="B169:C169"/>
    <mergeCell ref="D169:E169"/>
    <mergeCell ref="F169:G169"/>
    <mergeCell ref="B154:C154"/>
    <mergeCell ref="D154:E154"/>
    <mergeCell ref="F154:G154"/>
    <mergeCell ref="H154:I154"/>
    <mergeCell ref="B159:E160"/>
    <mergeCell ref="B155:C155"/>
    <mergeCell ref="D155:E155"/>
    <mergeCell ref="F155:G155"/>
    <mergeCell ref="H155:I155"/>
    <mergeCell ref="B156:C156"/>
    <mergeCell ref="D156:E156"/>
    <mergeCell ref="F156:G156"/>
    <mergeCell ref="H156:I156"/>
    <mergeCell ref="B152:C152"/>
    <mergeCell ref="D152:E152"/>
    <mergeCell ref="F152:G152"/>
    <mergeCell ref="H152:I152"/>
    <mergeCell ref="B153:C153"/>
    <mergeCell ref="D153:E153"/>
    <mergeCell ref="F153:G153"/>
    <mergeCell ref="H153:I153"/>
    <mergeCell ref="B150:C150"/>
    <mergeCell ref="D150:E150"/>
    <mergeCell ref="F150:G150"/>
    <mergeCell ref="H150:I150"/>
    <mergeCell ref="B151:C151"/>
    <mergeCell ref="D151:E151"/>
    <mergeCell ref="F151:G151"/>
    <mergeCell ref="H151:I151"/>
    <mergeCell ref="B148:C148"/>
    <mergeCell ref="D148:E148"/>
    <mergeCell ref="F148:G148"/>
    <mergeCell ref="H148:I148"/>
    <mergeCell ref="B149:C149"/>
    <mergeCell ref="D149:E149"/>
    <mergeCell ref="F149:G149"/>
    <mergeCell ref="H149:I149"/>
    <mergeCell ref="D146:E146"/>
    <mergeCell ref="F146:G146"/>
    <mergeCell ref="H146:I146"/>
    <mergeCell ref="B147:C147"/>
    <mergeCell ref="D147:E147"/>
    <mergeCell ref="F147:G147"/>
    <mergeCell ref="H147:I147"/>
    <mergeCell ref="J142:K142"/>
    <mergeCell ref="B143:C143"/>
    <mergeCell ref="D143:E143"/>
    <mergeCell ref="F143:G143"/>
    <mergeCell ref="H143:I143"/>
    <mergeCell ref="J143:K156"/>
    <mergeCell ref="B144:C144"/>
    <mergeCell ref="D144:E144"/>
    <mergeCell ref="F144:G144"/>
    <mergeCell ref="H144:I144"/>
    <mergeCell ref="H142:I142"/>
    <mergeCell ref="B145:C145"/>
    <mergeCell ref="D145:E145"/>
    <mergeCell ref="F145:G145"/>
    <mergeCell ref="H145:I145"/>
    <mergeCell ref="B146:C146"/>
    <mergeCell ref="B137:D138"/>
    <mergeCell ref="B139:F140"/>
    <mergeCell ref="B142:C142"/>
    <mergeCell ref="D142:E142"/>
    <mergeCell ref="F142:G142"/>
    <mergeCell ref="B127:C127"/>
    <mergeCell ref="D127:E127"/>
    <mergeCell ref="F127:G127"/>
    <mergeCell ref="H127:I127"/>
    <mergeCell ref="B132:E133"/>
    <mergeCell ref="B128:C128"/>
    <mergeCell ref="D128:E128"/>
    <mergeCell ref="F128:G128"/>
    <mergeCell ref="H128:I128"/>
    <mergeCell ref="B129:C129"/>
    <mergeCell ref="D129:E129"/>
    <mergeCell ref="F129:G129"/>
    <mergeCell ref="H129:I129"/>
    <mergeCell ref="B125:C125"/>
    <mergeCell ref="D125:E125"/>
    <mergeCell ref="F125:G125"/>
    <mergeCell ref="H125:I125"/>
    <mergeCell ref="B126:C126"/>
    <mergeCell ref="D126:E126"/>
    <mergeCell ref="F126:G126"/>
    <mergeCell ref="H126:I126"/>
    <mergeCell ref="B123:C123"/>
    <mergeCell ref="D123:E123"/>
    <mergeCell ref="F123:G123"/>
    <mergeCell ref="H123:I123"/>
    <mergeCell ref="B124:C124"/>
    <mergeCell ref="D124:E124"/>
    <mergeCell ref="F124:G124"/>
    <mergeCell ref="H124:I124"/>
    <mergeCell ref="B121:C121"/>
    <mergeCell ref="D121:E121"/>
    <mergeCell ref="F121:G121"/>
    <mergeCell ref="H121:I121"/>
    <mergeCell ref="B122:C122"/>
    <mergeCell ref="D122:E122"/>
    <mergeCell ref="F122:G122"/>
    <mergeCell ref="H122:I122"/>
    <mergeCell ref="D119:E119"/>
    <mergeCell ref="F119:G119"/>
    <mergeCell ref="H119:I119"/>
    <mergeCell ref="B120:C120"/>
    <mergeCell ref="D120:E120"/>
    <mergeCell ref="F120:G120"/>
    <mergeCell ref="H120:I120"/>
    <mergeCell ref="J115:K115"/>
    <mergeCell ref="B116:C116"/>
    <mergeCell ref="D116:E116"/>
    <mergeCell ref="F116:G116"/>
    <mergeCell ref="H116:I116"/>
    <mergeCell ref="J116:K129"/>
    <mergeCell ref="B117:C117"/>
    <mergeCell ref="D117:E117"/>
    <mergeCell ref="F117:G117"/>
    <mergeCell ref="H117:I117"/>
    <mergeCell ref="H115:I115"/>
    <mergeCell ref="B118:C118"/>
    <mergeCell ref="D118:E118"/>
    <mergeCell ref="F118:G118"/>
    <mergeCell ref="H118:I118"/>
    <mergeCell ref="B119:C119"/>
    <mergeCell ref="B110:D111"/>
    <mergeCell ref="B112:F113"/>
    <mergeCell ref="B115:C115"/>
    <mergeCell ref="D115:E115"/>
    <mergeCell ref="F115:G115"/>
    <mergeCell ref="B100:C100"/>
    <mergeCell ref="D100:E100"/>
    <mergeCell ref="F100:G100"/>
    <mergeCell ref="H100:I100"/>
    <mergeCell ref="B105:E106"/>
    <mergeCell ref="B101:C101"/>
    <mergeCell ref="D101:E101"/>
    <mergeCell ref="F101:G101"/>
    <mergeCell ref="H101:I101"/>
    <mergeCell ref="B102:C102"/>
    <mergeCell ref="D102:E102"/>
    <mergeCell ref="F102:G102"/>
    <mergeCell ref="H102:I102"/>
    <mergeCell ref="B98:C98"/>
    <mergeCell ref="D98:E98"/>
    <mergeCell ref="F98:G98"/>
    <mergeCell ref="H98:I98"/>
    <mergeCell ref="B99:C99"/>
    <mergeCell ref="D99:E99"/>
    <mergeCell ref="F99:G99"/>
    <mergeCell ref="H99:I99"/>
    <mergeCell ref="B96:C96"/>
    <mergeCell ref="D96:E96"/>
    <mergeCell ref="F96:G96"/>
    <mergeCell ref="H96:I96"/>
    <mergeCell ref="B97:C97"/>
    <mergeCell ref="D97:E97"/>
    <mergeCell ref="F97:G97"/>
    <mergeCell ref="H97:I97"/>
    <mergeCell ref="B94:C94"/>
    <mergeCell ref="D94:E94"/>
    <mergeCell ref="F94:G94"/>
    <mergeCell ref="H94:I94"/>
    <mergeCell ref="B95:C95"/>
    <mergeCell ref="D95:E95"/>
    <mergeCell ref="F95:G95"/>
    <mergeCell ref="H95:I95"/>
    <mergeCell ref="D92:E92"/>
    <mergeCell ref="F92:G92"/>
    <mergeCell ref="H92:I92"/>
    <mergeCell ref="B93:C93"/>
    <mergeCell ref="D93:E93"/>
    <mergeCell ref="F93:G93"/>
    <mergeCell ref="H93:I93"/>
    <mergeCell ref="J88:K88"/>
    <mergeCell ref="B89:C89"/>
    <mergeCell ref="D89:E89"/>
    <mergeCell ref="F89:G89"/>
    <mergeCell ref="H89:I89"/>
    <mergeCell ref="J89:K102"/>
    <mergeCell ref="B90:C90"/>
    <mergeCell ref="D90:E90"/>
    <mergeCell ref="F90:G90"/>
    <mergeCell ref="H90:I90"/>
    <mergeCell ref="H88:I88"/>
    <mergeCell ref="B91:C91"/>
    <mergeCell ref="D91:E91"/>
    <mergeCell ref="F91:G91"/>
    <mergeCell ref="H91:I91"/>
    <mergeCell ref="B92:C92"/>
    <mergeCell ref="B83:D84"/>
    <mergeCell ref="B85:F86"/>
    <mergeCell ref="B88:C88"/>
    <mergeCell ref="D88:E88"/>
    <mergeCell ref="F88:G88"/>
    <mergeCell ref="B75:C75"/>
    <mergeCell ref="D75:E75"/>
    <mergeCell ref="F75:G75"/>
    <mergeCell ref="H75:I75"/>
    <mergeCell ref="B78:E79"/>
    <mergeCell ref="B73:C73"/>
    <mergeCell ref="D73:E73"/>
    <mergeCell ref="F73:G73"/>
    <mergeCell ref="H73:I73"/>
    <mergeCell ref="B74:C74"/>
    <mergeCell ref="D74:E74"/>
    <mergeCell ref="F74:G74"/>
    <mergeCell ref="H74:I74"/>
    <mergeCell ref="B71:C71"/>
    <mergeCell ref="D71:E71"/>
    <mergeCell ref="F71:G71"/>
    <mergeCell ref="H71:I71"/>
    <mergeCell ref="B72:C72"/>
    <mergeCell ref="D72:E72"/>
    <mergeCell ref="F72:G72"/>
    <mergeCell ref="H72:I72"/>
    <mergeCell ref="B69:C69"/>
    <mergeCell ref="D69:E69"/>
    <mergeCell ref="F69:G69"/>
    <mergeCell ref="H69:I69"/>
    <mergeCell ref="B70:C70"/>
    <mergeCell ref="D70:E70"/>
    <mergeCell ref="F70:G70"/>
    <mergeCell ref="H70:I70"/>
    <mergeCell ref="B67:C67"/>
    <mergeCell ref="D67:E67"/>
    <mergeCell ref="F67:G67"/>
    <mergeCell ref="H67:I67"/>
    <mergeCell ref="B68:C68"/>
    <mergeCell ref="D68:E68"/>
    <mergeCell ref="F68:G68"/>
    <mergeCell ref="H68:I68"/>
    <mergeCell ref="D65:E65"/>
    <mergeCell ref="F65:G65"/>
    <mergeCell ref="H65:I65"/>
    <mergeCell ref="B66:C66"/>
    <mergeCell ref="D66:E66"/>
    <mergeCell ref="F66:G66"/>
    <mergeCell ref="H66:I66"/>
    <mergeCell ref="H61:I61"/>
    <mergeCell ref="J61:K61"/>
    <mergeCell ref="B62:C62"/>
    <mergeCell ref="D62:E62"/>
    <mergeCell ref="F62:G62"/>
    <mergeCell ref="H62:I62"/>
    <mergeCell ref="J62:K75"/>
    <mergeCell ref="B63:C63"/>
    <mergeCell ref="D63:E63"/>
    <mergeCell ref="F63:G63"/>
    <mergeCell ref="H63:I63"/>
    <mergeCell ref="B64:C64"/>
    <mergeCell ref="D64:E64"/>
    <mergeCell ref="F64:G64"/>
    <mergeCell ref="H64:I64"/>
    <mergeCell ref="B65:C65"/>
    <mergeCell ref="B56:D57"/>
    <mergeCell ref="B58:F59"/>
    <mergeCell ref="B61:C61"/>
    <mergeCell ref="D61:E61"/>
    <mergeCell ref="F61:G61"/>
    <mergeCell ref="B48:C48"/>
    <mergeCell ref="D48:E48"/>
    <mergeCell ref="F48:G48"/>
    <mergeCell ref="H48:I48"/>
    <mergeCell ref="B51:E52"/>
    <mergeCell ref="B46:C46"/>
    <mergeCell ref="D46:E46"/>
    <mergeCell ref="F46:G46"/>
    <mergeCell ref="H46:I46"/>
    <mergeCell ref="B47:C47"/>
    <mergeCell ref="D47:E47"/>
    <mergeCell ref="F47:G47"/>
    <mergeCell ref="H47:I47"/>
    <mergeCell ref="B44:C44"/>
    <mergeCell ref="D44:E44"/>
    <mergeCell ref="F44:G44"/>
    <mergeCell ref="H44:I44"/>
    <mergeCell ref="B45:C45"/>
    <mergeCell ref="D45:E45"/>
    <mergeCell ref="F45:G45"/>
    <mergeCell ref="H45:I45"/>
    <mergeCell ref="B42:C42"/>
    <mergeCell ref="D42:E42"/>
    <mergeCell ref="F42:G42"/>
    <mergeCell ref="H42:I42"/>
    <mergeCell ref="B43:C43"/>
    <mergeCell ref="D43:E43"/>
    <mergeCell ref="F43:G43"/>
    <mergeCell ref="H43:I43"/>
    <mergeCell ref="B40:C40"/>
    <mergeCell ref="D40:E40"/>
    <mergeCell ref="F40:G40"/>
    <mergeCell ref="H40:I40"/>
    <mergeCell ref="B41:C41"/>
    <mergeCell ref="D41:E41"/>
    <mergeCell ref="F41:G41"/>
    <mergeCell ref="H41:I41"/>
    <mergeCell ref="D38:E38"/>
    <mergeCell ref="F38:G38"/>
    <mergeCell ref="H38:I38"/>
    <mergeCell ref="B39:C39"/>
    <mergeCell ref="D39:E39"/>
    <mergeCell ref="F39:G39"/>
    <mergeCell ref="H39:I39"/>
    <mergeCell ref="H34:I34"/>
    <mergeCell ref="J34:K34"/>
    <mergeCell ref="B35:C35"/>
    <mergeCell ref="D35:E35"/>
    <mergeCell ref="F35:G35"/>
    <mergeCell ref="H35:I35"/>
    <mergeCell ref="J35:K48"/>
    <mergeCell ref="B36:C36"/>
    <mergeCell ref="D36:E36"/>
    <mergeCell ref="F36:G36"/>
    <mergeCell ref="H36:I36"/>
    <mergeCell ref="B37:C37"/>
    <mergeCell ref="D37:E37"/>
    <mergeCell ref="F37:G37"/>
    <mergeCell ref="H37:I37"/>
    <mergeCell ref="B38:C38"/>
    <mergeCell ref="B29:D30"/>
    <mergeCell ref="B31:F32"/>
    <mergeCell ref="B34:C34"/>
    <mergeCell ref="D34:E34"/>
    <mergeCell ref="F34:G34"/>
    <mergeCell ref="B9:C9"/>
    <mergeCell ref="F9:G9"/>
    <mergeCell ref="B4:F5"/>
    <mergeCell ref="B2:D3"/>
    <mergeCell ref="B7:C7"/>
    <mergeCell ref="D7:E7"/>
    <mergeCell ref="F7:G7"/>
    <mergeCell ref="D8:E8"/>
    <mergeCell ref="F8:G8"/>
    <mergeCell ref="H7:I7"/>
    <mergeCell ref="B8:C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D11:E11"/>
    <mergeCell ref="D12:E12"/>
    <mergeCell ref="B16:C16"/>
    <mergeCell ref="B17:C17"/>
    <mergeCell ref="B18:C18"/>
    <mergeCell ref="H8:I8"/>
    <mergeCell ref="D9:E9"/>
    <mergeCell ref="D10:E10"/>
    <mergeCell ref="D19:E19"/>
    <mergeCell ref="D20:E20"/>
    <mergeCell ref="D21:E21"/>
    <mergeCell ref="D13:E13"/>
    <mergeCell ref="D14:E14"/>
    <mergeCell ref="D15:E15"/>
    <mergeCell ref="D16:E16"/>
    <mergeCell ref="D17:E17"/>
    <mergeCell ref="D18:E18"/>
    <mergeCell ref="F21:G21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J8:K21"/>
    <mergeCell ref="B24:E25"/>
    <mergeCell ref="J7:K7"/>
    <mergeCell ref="H16:I16"/>
    <mergeCell ref="H17:I17"/>
    <mergeCell ref="H18:I18"/>
    <mergeCell ref="H19:I19"/>
    <mergeCell ref="H20:I20"/>
    <mergeCell ref="H21:I21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C608-16E4-4433-BC31-D9B13BFC15DE}">
  <dimension ref="B4:Q12"/>
  <sheetViews>
    <sheetView workbookViewId="0">
      <selection activeCell="H23" sqref="H23"/>
    </sheetView>
  </sheetViews>
  <sheetFormatPr defaultRowHeight="14.4" x14ac:dyDescent="0.3"/>
  <sheetData>
    <row r="4" spans="2:17" ht="14.4" customHeight="1" x14ac:dyDescent="0.3">
      <c r="B4" s="24" t="s">
        <v>25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2:17" ht="14.4" customHeight="1" x14ac:dyDescent="0.3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2:17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7" ht="14.4" customHeight="1" x14ac:dyDescent="0.3">
      <c r="B7" s="20" t="s">
        <v>16</v>
      </c>
      <c r="C7" s="20"/>
      <c r="D7" s="27" t="s">
        <v>17</v>
      </c>
      <c r="E7" s="27"/>
      <c r="F7" s="27"/>
      <c r="G7" s="26" t="s">
        <v>18</v>
      </c>
      <c r="H7" s="26"/>
      <c r="I7" s="26"/>
      <c r="J7" s="26" t="s">
        <v>19</v>
      </c>
      <c r="K7" s="26"/>
      <c r="L7" s="26"/>
      <c r="M7" s="27" t="s">
        <v>20</v>
      </c>
      <c r="N7" s="27"/>
      <c r="O7" s="27"/>
      <c r="P7" s="20" t="s">
        <v>21</v>
      </c>
      <c r="Q7" s="20"/>
    </row>
    <row r="8" spans="2:17" x14ac:dyDescent="0.3">
      <c r="B8" s="20"/>
      <c r="C8" s="20"/>
      <c r="D8" s="27"/>
      <c r="E8" s="27"/>
      <c r="F8" s="27"/>
      <c r="G8" s="26"/>
      <c r="H8" s="26"/>
      <c r="I8" s="26"/>
      <c r="J8" s="26"/>
      <c r="K8" s="26"/>
      <c r="L8" s="26"/>
      <c r="M8" s="27"/>
      <c r="N8" s="27"/>
      <c r="O8" s="27"/>
      <c r="P8" s="20"/>
      <c r="Q8" s="20"/>
    </row>
    <row r="9" spans="2:17" x14ac:dyDescent="0.3">
      <c r="B9" s="23" t="s">
        <v>22</v>
      </c>
      <c r="C9" s="23"/>
      <c r="D9" s="26">
        <v>0.71974199999999999</v>
      </c>
      <c r="E9" s="26"/>
      <c r="F9" s="26"/>
      <c r="G9" s="20">
        <v>110</v>
      </c>
      <c r="H9" s="20"/>
      <c r="I9" s="20"/>
      <c r="J9" s="20">
        <f>G9*12</f>
        <v>1320</v>
      </c>
      <c r="K9" s="20"/>
      <c r="L9" s="20"/>
      <c r="M9" s="20">
        <f>J9/500</f>
        <v>2.64</v>
      </c>
      <c r="N9" s="20"/>
      <c r="O9" s="20"/>
      <c r="P9" s="23" t="str">
        <f>IF(M9&gt;D9,"OK","NOT OK")</f>
        <v>OK</v>
      </c>
      <c r="Q9" s="23"/>
    </row>
    <row r="10" spans="2:17" x14ac:dyDescent="0.3">
      <c r="B10" s="23" t="s">
        <v>23</v>
      </c>
      <c r="C10" s="23"/>
      <c r="D10" s="26">
        <v>0.27188400000000001</v>
      </c>
      <c r="E10" s="26"/>
      <c r="F10" s="26"/>
      <c r="G10" s="20">
        <v>110</v>
      </c>
      <c r="H10" s="20"/>
      <c r="I10" s="20"/>
      <c r="J10" s="20">
        <f>G10*12</f>
        <v>1320</v>
      </c>
      <c r="K10" s="20"/>
      <c r="L10" s="20"/>
      <c r="M10" s="20">
        <f>J9/500</f>
        <v>2.64</v>
      </c>
      <c r="N10" s="20"/>
      <c r="O10" s="20"/>
      <c r="P10" s="23" t="str">
        <f t="shared" ref="P10:P12" si="0">IF(M10&gt;D10,"OK","NOT OK")</f>
        <v>OK</v>
      </c>
      <c r="Q10" s="23"/>
    </row>
    <row r="11" spans="2:17" x14ac:dyDescent="0.3">
      <c r="B11" s="23" t="s">
        <v>24</v>
      </c>
      <c r="C11" s="23"/>
      <c r="D11" s="26">
        <v>1.3277209999999999</v>
      </c>
      <c r="E11" s="26"/>
      <c r="F11" s="26"/>
      <c r="G11" s="20">
        <v>110</v>
      </c>
      <c r="H11" s="20"/>
      <c r="I11" s="20"/>
      <c r="J11" s="20">
        <f t="shared" ref="J11:J12" si="1">G11*12</f>
        <v>1320</v>
      </c>
      <c r="K11" s="20"/>
      <c r="L11" s="20"/>
      <c r="M11" s="20">
        <f>J9/500</f>
        <v>2.64</v>
      </c>
      <c r="N11" s="20"/>
      <c r="O11" s="20"/>
      <c r="P11" s="23" t="str">
        <f t="shared" si="0"/>
        <v>OK</v>
      </c>
      <c r="Q11" s="23"/>
    </row>
    <row r="12" spans="2:17" x14ac:dyDescent="0.3">
      <c r="B12" s="23" t="s">
        <v>55</v>
      </c>
      <c r="C12" s="23"/>
      <c r="D12" s="26">
        <v>0.27155499999999999</v>
      </c>
      <c r="E12" s="26"/>
      <c r="F12" s="26"/>
      <c r="G12" s="20">
        <v>110</v>
      </c>
      <c r="H12" s="20"/>
      <c r="I12" s="20"/>
      <c r="J12" s="20">
        <f t="shared" si="1"/>
        <v>1320</v>
      </c>
      <c r="K12" s="20"/>
      <c r="L12" s="20"/>
      <c r="M12" s="20">
        <f t="shared" ref="M12" si="2">J11/500</f>
        <v>2.64</v>
      </c>
      <c r="N12" s="20"/>
      <c r="O12" s="20"/>
      <c r="P12" s="23" t="str">
        <f t="shared" si="0"/>
        <v>OK</v>
      </c>
      <c r="Q12" s="23"/>
    </row>
  </sheetData>
  <mergeCells count="31">
    <mergeCell ref="B4:Q5"/>
    <mergeCell ref="B7:C8"/>
    <mergeCell ref="D7:F8"/>
    <mergeCell ref="G7:I8"/>
    <mergeCell ref="J7:L8"/>
    <mergeCell ref="M7:O8"/>
    <mergeCell ref="P7:Q8"/>
    <mergeCell ref="B9:C9"/>
    <mergeCell ref="B10:C10"/>
    <mergeCell ref="B11:C11"/>
    <mergeCell ref="B12:C12"/>
    <mergeCell ref="G9:I9"/>
    <mergeCell ref="G10:I10"/>
    <mergeCell ref="G11:I11"/>
    <mergeCell ref="G12:I12"/>
    <mergeCell ref="D9:F9"/>
    <mergeCell ref="D10:F10"/>
    <mergeCell ref="D11:F11"/>
    <mergeCell ref="D12:F12"/>
    <mergeCell ref="P12:Q12"/>
    <mergeCell ref="J12:L12"/>
    <mergeCell ref="M9:O9"/>
    <mergeCell ref="M10:O10"/>
    <mergeCell ref="M11:O11"/>
    <mergeCell ref="M12:O12"/>
    <mergeCell ref="J9:L9"/>
    <mergeCell ref="J10:L10"/>
    <mergeCell ref="J11:L11"/>
    <mergeCell ref="P9:Q9"/>
    <mergeCell ref="P10:Q10"/>
    <mergeCell ref="P11:Q11"/>
  </mergeCells>
  <pageMargins left="0.7" right="0.7" top="0.75" bottom="0.75" header="0.3" footer="0.3"/>
  <ignoredErrors>
    <ignoredError sqref="M1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A5E0-8EBD-4A08-BD98-A8989E963811}">
  <dimension ref="B3:Z121"/>
  <sheetViews>
    <sheetView workbookViewId="0">
      <selection activeCell="M84" sqref="M84"/>
    </sheetView>
  </sheetViews>
  <sheetFormatPr defaultRowHeight="14.4" x14ac:dyDescent="0.3"/>
  <sheetData>
    <row r="3" spans="2:26" ht="14.4" customHeight="1" x14ac:dyDescent="0.3">
      <c r="B3" s="30" t="s">
        <v>26</v>
      </c>
      <c r="C3" s="31"/>
      <c r="D3" s="31"/>
      <c r="E3" s="31"/>
      <c r="F3" s="31"/>
      <c r="G3" s="31"/>
      <c r="H3" s="32"/>
      <c r="W3" s="1"/>
      <c r="X3" s="1"/>
      <c r="Y3" s="1"/>
      <c r="Z3" s="1"/>
    </row>
    <row r="4" spans="2:26" x14ac:dyDescent="0.3">
      <c r="B4" s="33"/>
      <c r="C4" s="34"/>
      <c r="D4" s="34"/>
      <c r="E4" s="34"/>
      <c r="F4" s="34"/>
      <c r="G4" s="34"/>
      <c r="H4" s="35"/>
      <c r="W4" s="1"/>
      <c r="X4" s="1"/>
      <c r="Y4" s="1"/>
      <c r="Z4" s="1"/>
    </row>
    <row r="5" spans="2:26" x14ac:dyDescent="0.3">
      <c r="B5" s="30" t="s">
        <v>111</v>
      </c>
      <c r="C5" s="36"/>
      <c r="D5" s="36"/>
      <c r="E5" s="36"/>
      <c r="F5" s="36"/>
      <c r="G5" s="36"/>
      <c r="H5" s="37"/>
      <c r="W5" s="1"/>
      <c r="X5" s="1"/>
      <c r="Y5" s="1"/>
      <c r="Z5" s="1"/>
    </row>
    <row r="6" spans="2:26" x14ac:dyDescent="0.3">
      <c r="B6" s="38"/>
      <c r="C6" s="39"/>
      <c r="D6" s="39"/>
      <c r="E6" s="39"/>
      <c r="F6" s="39"/>
      <c r="G6" s="39"/>
      <c r="H6" s="40"/>
      <c r="W6" s="1"/>
      <c r="X6" s="1"/>
      <c r="Y6" s="1"/>
      <c r="Z6" s="1"/>
    </row>
    <row r="7" spans="2:26" x14ac:dyDescent="0.3">
      <c r="B7" s="41" t="s">
        <v>49</v>
      </c>
      <c r="C7" s="41"/>
      <c r="D7" s="41"/>
      <c r="E7" s="41"/>
      <c r="F7" s="1"/>
      <c r="G7" s="1"/>
      <c r="H7" s="1"/>
    </row>
    <row r="8" spans="2:26" ht="14.4" customHeight="1" x14ac:dyDescent="0.3">
      <c r="B8" s="20" t="s">
        <v>27</v>
      </c>
      <c r="C8" s="20"/>
      <c r="D8" s="20" t="s">
        <v>29</v>
      </c>
      <c r="E8" s="20"/>
      <c r="F8" s="20" t="s">
        <v>28</v>
      </c>
      <c r="G8" s="20"/>
      <c r="H8" s="27" t="s">
        <v>30</v>
      </c>
      <c r="I8" s="20" t="s">
        <v>31</v>
      </c>
      <c r="J8" s="20"/>
      <c r="K8" s="20"/>
      <c r="L8" s="26" t="s">
        <v>52</v>
      </c>
      <c r="M8" s="26"/>
      <c r="N8" s="26" t="s">
        <v>34</v>
      </c>
      <c r="O8" s="20" t="s">
        <v>32</v>
      </c>
      <c r="P8" s="20"/>
      <c r="Q8" s="26" t="s">
        <v>35</v>
      </c>
      <c r="R8" s="26"/>
      <c r="S8" s="20" t="s">
        <v>33</v>
      </c>
      <c r="T8" s="20"/>
      <c r="U8" s="20" t="s">
        <v>21</v>
      </c>
      <c r="V8" s="20"/>
    </row>
    <row r="9" spans="2:26" ht="14.4" customHeight="1" x14ac:dyDescent="0.3">
      <c r="B9" s="20"/>
      <c r="C9" s="20"/>
      <c r="D9" s="20"/>
      <c r="E9" s="20"/>
      <c r="F9" s="20"/>
      <c r="G9" s="20"/>
      <c r="H9" s="27"/>
      <c r="I9" s="20"/>
      <c r="J9" s="20"/>
      <c r="K9" s="20"/>
      <c r="L9" s="26"/>
      <c r="M9" s="26"/>
      <c r="N9" s="26"/>
      <c r="O9" s="20"/>
      <c r="P9" s="20"/>
      <c r="Q9" s="26"/>
      <c r="R9" s="26"/>
      <c r="S9" s="20"/>
      <c r="T9" s="20"/>
      <c r="U9" s="20"/>
      <c r="V9" s="20"/>
    </row>
    <row r="10" spans="2:26" x14ac:dyDescent="0.3">
      <c r="B10" s="20"/>
      <c r="C10" s="20"/>
      <c r="D10" s="20"/>
      <c r="E10" s="20"/>
      <c r="F10" s="20"/>
      <c r="G10" s="20"/>
      <c r="H10" s="27"/>
      <c r="I10" s="20"/>
      <c r="J10" s="20"/>
      <c r="K10" s="20"/>
      <c r="L10" s="26"/>
      <c r="M10" s="26"/>
      <c r="N10" s="26"/>
      <c r="O10" s="20"/>
      <c r="P10" s="20"/>
      <c r="Q10" s="26"/>
      <c r="R10" s="26"/>
      <c r="S10" s="20"/>
      <c r="T10" s="20"/>
      <c r="U10" s="20"/>
      <c r="V10" s="20"/>
    </row>
    <row r="11" spans="2:26" ht="16.2" customHeight="1" x14ac:dyDescent="0.3">
      <c r="B11" s="20" t="s">
        <v>36</v>
      </c>
      <c r="C11" s="20"/>
      <c r="D11" s="26">
        <v>10</v>
      </c>
      <c r="E11" s="26"/>
      <c r="F11" s="20">
        <f>D11*12</f>
        <v>120</v>
      </c>
      <c r="G11" s="20"/>
      <c r="H11" s="4">
        <v>2.7422219999999999</v>
      </c>
      <c r="I11" s="23">
        <f>H11*L11/N11</f>
        <v>13.71111</v>
      </c>
      <c r="J11" s="23"/>
      <c r="K11" s="23"/>
      <c r="L11" s="23">
        <v>5</v>
      </c>
      <c r="M11" s="23"/>
      <c r="N11" s="5">
        <v>1</v>
      </c>
      <c r="O11" s="28">
        <f t="shared" ref="O11:O23" si="0">ABS(I11-I12)</f>
        <v>0.97170000000000023</v>
      </c>
      <c r="P11" s="28"/>
      <c r="Q11" s="28">
        <v>0.02</v>
      </c>
      <c r="R11" s="28"/>
      <c r="S11" s="23">
        <f>Q11*F11</f>
        <v>2.4</v>
      </c>
      <c r="T11" s="23"/>
      <c r="U11" s="23" t="str">
        <f>IF(S11&gt;O11,"OK","NOT OK")</f>
        <v>OK</v>
      </c>
      <c r="V11" s="23"/>
    </row>
    <row r="12" spans="2:26" x14ac:dyDescent="0.3">
      <c r="B12" s="26" t="s">
        <v>37</v>
      </c>
      <c r="C12" s="26"/>
      <c r="D12" s="26">
        <v>10</v>
      </c>
      <c r="E12" s="26"/>
      <c r="F12" s="23">
        <f t="shared" ref="F12:F23" si="1">D12*12</f>
        <v>120</v>
      </c>
      <c r="G12" s="23"/>
      <c r="H12" s="4">
        <v>2.9365619999999999</v>
      </c>
      <c r="I12" s="23">
        <f t="shared" ref="I12:I23" si="2">H12*L12/N12</f>
        <v>14.68281</v>
      </c>
      <c r="J12" s="23"/>
      <c r="K12" s="23"/>
      <c r="L12" s="23">
        <v>5</v>
      </c>
      <c r="M12" s="23"/>
      <c r="N12" s="5">
        <v>1</v>
      </c>
      <c r="O12" s="28">
        <f t="shared" si="0"/>
        <v>0.94157000000000046</v>
      </c>
      <c r="P12" s="28"/>
      <c r="Q12" s="28">
        <v>0.02</v>
      </c>
      <c r="R12" s="28"/>
      <c r="S12" s="23">
        <f t="shared" ref="S12:S23" si="3">Q12*F12</f>
        <v>2.4</v>
      </c>
      <c r="T12" s="23"/>
      <c r="U12" s="23" t="str">
        <f t="shared" ref="U12:U22" si="4">IF(S12&gt;O12,"OK","NOT OK")</f>
        <v>OK</v>
      </c>
      <c r="V12" s="23"/>
    </row>
    <row r="13" spans="2:26" x14ac:dyDescent="0.3">
      <c r="B13" s="26" t="s">
        <v>38</v>
      </c>
      <c r="C13" s="26"/>
      <c r="D13" s="26">
        <v>10</v>
      </c>
      <c r="E13" s="26"/>
      <c r="F13" s="23">
        <f t="shared" si="1"/>
        <v>120</v>
      </c>
      <c r="G13" s="23"/>
      <c r="H13" s="4">
        <v>2.7482479999999998</v>
      </c>
      <c r="I13" s="23">
        <f t="shared" si="2"/>
        <v>13.741239999999999</v>
      </c>
      <c r="J13" s="23"/>
      <c r="K13" s="23"/>
      <c r="L13" s="23">
        <v>5</v>
      </c>
      <c r="M13" s="23"/>
      <c r="N13" s="5">
        <v>1</v>
      </c>
      <c r="O13" s="28">
        <f t="shared" si="0"/>
        <v>1.1307099999999988</v>
      </c>
      <c r="P13" s="28"/>
      <c r="Q13" s="28">
        <v>0.02</v>
      </c>
      <c r="R13" s="28"/>
      <c r="S13" s="23">
        <f t="shared" si="3"/>
        <v>2.4</v>
      </c>
      <c r="T13" s="23"/>
      <c r="U13" s="23" t="str">
        <f t="shared" si="4"/>
        <v>OK</v>
      </c>
      <c r="V13" s="23"/>
    </row>
    <row r="14" spans="2:26" x14ac:dyDescent="0.3">
      <c r="B14" s="26" t="s">
        <v>39</v>
      </c>
      <c r="C14" s="26"/>
      <c r="D14" s="26">
        <v>10</v>
      </c>
      <c r="E14" s="26"/>
      <c r="F14" s="23">
        <f t="shared" si="1"/>
        <v>120</v>
      </c>
      <c r="G14" s="23"/>
      <c r="H14" s="4">
        <v>2.522106</v>
      </c>
      <c r="I14" s="23">
        <f t="shared" si="2"/>
        <v>12.610530000000001</v>
      </c>
      <c r="J14" s="23"/>
      <c r="K14" s="23"/>
      <c r="L14" s="23">
        <v>5</v>
      </c>
      <c r="M14" s="23"/>
      <c r="N14" s="5">
        <v>1</v>
      </c>
      <c r="O14" s="28">
        <f t="shared" si="0"/>
        <v>1.3140599999999996</v>
      </c>
      <c r="P14" s="28"/>
      <c r="Q14" s="28">
        <v>0.02</v>
      </c>
      <c r="R14" s="28"/>
      <c r="S14" s="23">
        <f t="shared" si="3"/>
        <v>2.4</v>
      </c>
      <c r="T14" s="23"/>
      <c r="U14" s="23" t="str">
        <f t="shared" si="4"/>
        <v>OK</v>
      </c>
      <c r="V14" s="23"/>
    </row>
    <row r="15" spans="2:26" x14ac:dyDescent="0.3">
      <c r="B15" s="26" t="s">
        <v>40</v>
      </c>
      <c r="C15" s="26"/>
      <c r="D15" s="26">
        <v>10</v>
      </c>
      <c r="E15" s="26"/>
      <c r="F15" s="23">
        <f t="shared" si="1"/>
        <v>120</v>
      </c>
      <c r="G15" s="23"/>
      <c r="H15" s="4">
        <v>2.2592940000000001</v>
      </c>
      <c r="I15" s="23">
        <f t="shared" si="2"/>
        <v>11.296470000000001</v>
      </c>
      <c r="J15" s="23"/>
      <c r="K15" s="23"/>
      <c r="L15" s="23">
        <v>5</v>
      </c>
      <c r="M15" s="23"/>
      <c r="N15" s="5">
        <v>1</v>
      </c>
      <c r="O15" s="28">
        <f t="shared" si="0"/>
        <v>1.4881050000000009</v>
      </c>
      <c r="P15" s="28"/>
      <c r="Q15" s="28">
        <v>0.02</v>
      </c>
      <c r="R15" s="28"/>
      <c r="S15" s="23">
        <f t="shared" si="3"/>
        <v>2.4</v>
      </c>
      <c r="T15" s="23"/>
      <c r="U15" s="23" t="str">
        <f t="shared" si="4"/>
        <v>OK</v>
      </c>
      <c r="V15" s="23"/>
    </row>
    <row r="16" spans="2:26" x14ac:dyDescent="0.3">
      <c r="B16" s="26" t="s">
        <v>41</v>
      </c>
      <c r="C16" s="26"/>
      <c r="D16" s="26">
        <v>10</v>
      </c>
      <c r="E16" s="26"/>
      <c r="F16" s="23">
        <f t="shared" si="1"/>
        <v>120</v>
      </c>
      <c r="G16" s="23"/>
      <c r="H16" s="4">
        <v>1.961673</v>
      </c>
      <c r="I16" s="23">
        <f t="shared" si="2"/>
        <v>9.8083650000000002</v>
      </c>
      <c r="J16" s="23"/>
      <c r="K16" s="23"/>
      <c r="L16" s="23">
        <v>5</v>
      </c>
      <c r="M16" s="23"/>
      <c r="N16" s="5">
        <v>1</v>
      </c>
      <c r="O16" s="28">
        <f t="shared" si="0"/>
        <v>1.6276250000000001</v>
      </c>
      <c r="P16" s="28"/>
      <c r="Q16" s="28">
        <v>0.02</v>
      </c>
      <c r="R16" s="28"/>
      <c r="S16" s="23">
        <f t="shared" si="3"/>
        <v>2.4</v>
      </c>
      <c r="T16" s="23"/>
      <c r="U16" s="23" t="str">
        <f t="shared" si="4"/>
        <v>OK</v>
      </c>
      <c r="V16" s="23"/>
    </row>
    <row r="17" spans="2:22" x14ac:dyDescent="0.3">
      <c r="B17" s="26" t="s">
        <v>42</v>
      </c>
      <c r="C17" s="26"/>
      <c r="D17" s="26">
        <v>10</v>
      </c>
      <c r="E17" s="26"/>
      <c r="F17" s="23">
        <f t="shared" si="1"/>
        <v>120</v>
      </c>
      <c r="G17" s="23"/>
      <c r="H17" s="4">
        <v>1.6361479999999999</v>
      </c>
      <c r="I17" s="23">
        <f t="shared" si="2"/>
        <v>8.1807400000000001</v>
      </c>
      <c r="J17" s="23"/>
      <c r="K17" s="23"/>
      <c r="L17" s="23">
        <v>5</v>
      </c>
      <c r="M17" s="23"/>
      <c r="N17" s="5">
        <v>1</v>
      </c>
      <c r="O17" s="28">
        <f t="shared" si="0"/>
        <v>1.7180849999999994</v>
      </c>
      <c r="P17" s="28"/>
      <c r="Q17" s="28">
        <v>0.02</v>
      </c>
      <c r="R17" s="28"/>
      <c r="S17" s="23">
        <f t="shared" si="3"/>
        <v>2.4</v>
      </c>
      <c r="T17" s="23"/>
      <c r="U17" s="23" t="str">
        <f t="shared" si="4"/>
        <v>OK</v>
      </c>
      <c r="V17" s="23"/>
    </row>
    <row r="18" spans="2:22" x14ac:dyDescent="0.3">
      <c r="B18" s="26" t="s">
        <v>43</v>
      </c>
      <c r="C18" s="26"/>
      <c r="D18" s="26">
        <v>10</v>
      </c>
      <c r="E18" s="26"/>
      <c r="F18" s="23">
        <f t="shared" si="1"/>
        <v>120</v>
      </c>
      <c r="G18" s="23"/>
      <c r="H18" s="4">
        <v>1.2925310000000001</v>
      </c>
      <c r="I18" s="23">
        <f t="shared" si="2"/>
        <v>6.4626550000000007</v>
      </c>
      <c r="J18" s="23"/>
      <c r="K18" s="23"/>
      <c r="L18" s="23">
        <v>5</v>
      </c>
      <c r="M18" s="23"/>
      <c r="N18" s="5">
        <v>1</v>
      </c>
      <c r="O18" s="28">
        <f t="shared" si="0"/>
        <v>1.7432500000000006</v>
      </c>
      <c r="P18" s="28"/>
      <c r="Q18" s="28">
        <v>0.02</v>
      </c>
      <c r="R18" s="28"/>
      <c r="S18" s="23">
        <f t="shared" si="3"/>
        <v>2.4</v>
      </c>
      <c r="T18" s="23"/>
      <c r="U18" s="23" t="str">
        <f t="shared" si="4"/>
        <v>OK</v>
      </c>
      <c r="V18" s="23"/>
    </row>
    <row r="19" spans="2:22" x14ac:dyDescent="0.3">
      <c r="B19" s="26" t="s">
        <v>44</v>
      </c>
      <c r="C19" s="26"/>
      <c r="D19" s="26">
        <v>10</v>
      </c>
      <c r="E19" s="26"/>
      <c r="F19" s="23">
        <f t="shared" si="1"/>
        <v>120</v>
      </c>
      <c r="G19" s="23"/>
      <c r="H19" s="4">
        <v>0.94388099999999997</v>
      </c>
      <c r="I19" s="23">
        <f t="shared" si="2"/>
        <v>4.7194050000000001</v>
      </c>
      <c r="J19" s="23"/>
      <c r="K19" s="23"/>
      <c r="L19" s="23">
        <v>5</v>
      </c>
      <c r="M19" s="23"/>
      <c r="N19" s="5">
        <v>1</v>
      </c>
      <c r="O19" s="28">
        <f t="shared" si="0"/>
        <v>1.6734850000000003</v>
      </c>
      <c r="P19" s="28"/>
      <c r="Q19" s="28">
        <v>0.02</v>
      </c>
      <c r="R19" s="28"/>
      <c r="S19" s="23">
        <f t="shared" si="3"/>
        <v>2.4</v>
      </c>
      <c r="T19" s="23"/>
      <c r="U19" s="23" t="str">
        <f t="shared" si="4"/>
        <v>OK</v>
      </c>
      <c r="V19" s="23"/>
    </row>
    <row r="20" spans="2:22" x14ac:dyDescent="0.3">
      <c r="B20" s="26" t="s">
        <v>45</v>
      </c>
      <c r="C20" s="26"/>
      <c r="D20" s="26">
        <v>10</v>
      </c>
      <c r="E20" s="26"/>
      <c r="F20" s="23">
        <f t="shared" si="1"/>
        <v>120</v>
      </c>
      <c r="G20" s="23"/>
      <c r="H20" s="4">
        <v>0.60918399999999995</v>
      </c>
      <c r="I20" s="23">
        <f t="shared" si="2"/>
        <v>3.0459199999999997</v>
      </c>
      <c r="J20" s="23"/>
      <c r="K20" s="23"/>
      <c r="L20" s="23">
        <v>5</v>
      </c>
      <c r="M20" s="23"/>
      <c r="N20" s="5">
        <v>1</v>
      </c>
      <c r="O20" s="28">
        <f t="shared" si="0"/>
        <v>1.4775599999999998</v>
      </c>
      <c r="P20" s="28"/>
      <c r="Q20" s="28">
        <v>0.02</v>
      </c>
      <c r="R20" s="28"/>
      <c r="S20" s="23">
        <f t="shared" si="3"/>
        <v>2.4</v>
      </c>
      <c r="T20" s="23"/>
      <c r="U20" s="23" t="str">
        <f t="shared" si="4"/>
        <v>OK</v>
      </c>
      <c r="V20" s="23"/>
    </row>
    <row r="21" spans="2:22" x14ac:dyDescent="0.3">
      <c r="B21" s="26" t="s">
        <v>46</v>
      </c>
      <c r="C21" s="26"/>
      <c r="D21" s="26">
        <v>10</v>
      </c>
      <c r="E21" s="26"/>
      <c r="F21" s="23">
        <f t="shared" si="1"/>
        <v>120</v>
      </c>
      <c r="G21" s="23"/>
      <c r="H21" s="4">
        <v>0.31367200000000001</v>
      </c>
      <c r="I21" s="23">
        <f t="shared" si="2"/>
        <v>1.56836</v>
      </c>
      <c r="J21" s="23"/>
      <c r="K21" s="23"/>
      <c r="L21" s="23">
        <v>5</v>
      </c>
      <c r="M21" s="23"/>
      <c r="N21" s="5">
        <v>1</v>
      </c>
      <c r="O21" s="28">
        <f t="shared" si="0"/>
        <v>1.56836</v>
      </c>
      <c r="P21" s="28"/>
      <c r="Q21" s="28">
        <v>0.02</v>
      </c>
      <c r="R21" s="28"/>
      <c r="S21" s="23">
        <f t="shared" si="3"/>
        <v>2.4</v>
      </c>
      <c r="T21" s="23"/>
      <c r="U21" s="23" t="str">
        <f t="shared" si="4"/>
        <v>OK</v>
      </c>
      <c r="V21" s="23"/>
    </row>
    <row r="22" spans="2:22" ht="20.399999999999999" customHeight="1" x14ac:dyDescent="0.3">
      <c r="B22" s="26" t="s">
        <v>47</v>
      </c>
      <c r="C22" s="26"/>
      <c r="D22" s="26">
        <v>8</v>
      </c>
      <c r="E22" s="26"/>
      <c r="F22" s="23">
        <f t="shared" si="1"/>
        <v>96</v>
      </c>
      <c r="G22" s="23"/>
      <c r="H22" s="7">
        <v>0</v>
      </c>
      <c r="I22" s="23">
        <f t="shared" si="2"/>
        <v>0</v>
      </c>
      <c r="J22" s="23"/>
      <c r="K22" s="23"/>
      <c r="L22" s="23">
        <v>5</v>
      </c>
      <c r="M22" s="23"/>
      <c r="N22" s="5">
        <v>1</v>
      </c>
      <c r="O22" s="28">
        <f t="shared" si="0"/>
        <v>0</v>
      </c>
      <c r="P22" s="28"/>
      <c r="Q22" s="28">
        <v>0.02</v>
      </c>
      <c r="R22" s="28"/>
      <c r="S22" s="23">
        <f t="shared" si="3"/>
        <v>1.92</v>
      </c>
      <c r="T22" s="23"/>
      <c r="U22" s="23" t="str">
        <f t="shared" si="4"/>
        <v>OK</v>
      </c>
      <c r="V22" s="23"/>
    </row>
    <row r="23" spans="2:22" ht="16.2" customHeight="1" x14ac:dyDescent="0.3">
      <c r="B23" s="26" t="s">
        <v>48</v>
      </c>
      <c r="C23" s="26"/>
      <c r="D23" s="23">
        <v>0</v>
      </c>
      <c r="E23" s="23"/>
      <c r="F23" s="23">
        <f t="shared" si="1"/>
        <v>0</v>
      </c>
      <c r="G23" s="23"/>
      <c r="H23" s="7">
        <v>0</v>
      </c>
      <c r="I23" s="23">
        <f t="shared" si="2"/>
        <v>0</v>
      </c>
      <c r="J23" s="23"/>
      <c r="K23" s="23"/>
      <c r="L23" s="23">
        <v>5</v>
      </c>
      <c r="M23" s="23"/>
      <c r="N23" s="5">
        <v>1</v>
      </c>
      <c r="O23" s="28">
        <f t="shared" si="0"/>
        <v>0</v>
      </c>
      <c r="P23" s="28"/>
      <c r="Q23" s="28">
        <v>0.02</v>
      </c>
      <c r="R23" s="28"/>
      <c r="S23" s="23">
        <f t="shared" si="3"/>
        <v>0</v>
      </c>
      <c r="T23" s="23"/>
      <c r="U23" s="23" t="s">
        <v>51</v>
      </c>
      <c r="V23" s="23"/>
    </row>
    <row r="26" spans="2:22" x14ac:dyDescent="0.3">
      <c r="B26" s="29" t="s">
        <v>50</v>
      </c>
      <c r="C26" s="29"/>
      <c r="D26" s="29"/>
      <c r="E26" s="29"/>
      <c r="F26" s="1"/>
      <c r="G26" s="1"/>
      <c r="H26" s="1"/>
    </row>
    <row r="27" spans="2:22" x14ac:dyDescent="0.3">
      <c r="B27" s="20" t="s">
        <v>27</v>
      </c>
      <c r="C27" s="20"/>
      <c r="D27" s="20" t="s">
        <v>29</v>
      </c>
      <c r="E27" s="20"/>
      <c r="F27" s="20" t="s">
        <v>28</v>
      </c>
      <c r="G27" s="20"/>
      <c r="H27" s="27" t="s">
        <v>30</v>
      </c>
      <c r="I27" s="20" t="s">
        <v>31</v>
      </c>
      <c r="J27" s="20"/>
      <c r="K27" s="20"/>
      <c r="L27" s="26" t="s">
        <v>52</v>
      </c>
      <c r="M27" s="26"/>
      <c r="N27" s="26" t="s">
        <v>34</v>
      </c>
      <c r="O27" s="20" t="s">
        <v>32</v>
      </c>
      <c r="P27" s="20"/>
      <c r="Q27" s="26" t="s">
        <v>35</v>
      </c>
      <c r="R27" s="26"/>
      <c r="S27" s="20" t="s">
        <v>33</v>
      </c>
      <c r="T27" s="20"/>
      <c r="U27" s="20" t="s">
        <v>21</v>
      </c>
      <c r="V27" s="20"/>
    </row>
    <row r="28" spans="2:22" x14ac:dyDescent="0.3">
      <c r="B28" s="20"/>
      <c r="C28" s="20"/>
      <c r="D28" s="20"/>
      <c r="E28" s="20"/>
      <c r="F28" s="20"/>
      <c r="G28" s="20"/>
      <c r="H28" s="27"/>
      <c r="I28" s="20"/>
      <c r="J28" s="20"/>
      <c r="K28" s="20"/>
      <c r="L28" s="26"/>
      <c r="M28" s="26"/>
      <c r="N28" s="26"/>
      <c r="O28" s="20"/>
      <c r="P28" s="20"/>
      <c r="Q28" s="26"/>
      <c r="R28" s="26"/>
      <c r="S28" s="20"/>
      <c r="T28" s="20"/>
      <c r="U28" s="20"/>
      <c r="V28" s="20"/>
    </row>
    <row r="29" spans="2:22" x14ac:dyDescent="0.3">
      <c r="B29" s="20"/>
      <c r="C29" s="20"/>
      <c r="D29" s="20"/>
      <c r="E29" s="20"/>
      <c r="F29" s="20"/>
      <c r="G29" s="20"/>
      <c r="H29" s="27"/>
      <c r="I29" s="20"/>
      <c r="J29" s="20"/>
      <c r="K29" s="20"/>
      <c r="L29" s="26"/>
      <c r="M29" s="26"/>
      <c r="N29" s="26"/>
      <c r="O29" s="20"/>
      <c r="P29" s="20"/>
      <c r="Q29" s="26"/>
      <c r="R29" s="26"/>
      <c r="S29" s="20"/>
      <c r="T29" s="20"/>
      <c r="U29" s="20"/>
      <c r="V29" s="20"/>
    </row>
    <row r="30" spans="2:22" x14ac:dyDescent="0.3">
      <c r="B30" s="20" t="s">
        <v>36</v>
      </c>
      <c r="C30" s="20"/>
      <c r="D30" s="26">
        <v>10</v>
      </c>
      <c r="E30" s="26"/>
      <c r="F30" s="20">
        <f>D30*12</f>
        <v>120</v>
      </c>
      <c r="G30" s="20"/>
      <c r="H30" s="6">
        <v>0</v>
      </c>
      <c r="I30" s="23">
        <f>H30*L30/N30</f>
        <v>0</v>
      </c>
      <c r="J30" s="23"/>
      <c r="K30" s="23"/>
      <c r="L30" s="23">
        <v>5</v>
      </c>
      <c r="M30" s="23"/>
      <c r="N30" s="5">
        <v>1</v>
      </c>
      <c r="O30" s="28">
        <f t="shared" ref="O30:O42" si="5">ABS(I30-I31)</f>
        <v>0</v>
      </c>
      <c r="P30" s="28"/>
      <c r="Q30" s="28">
        <v>0.02</v>
      </c>
      <c r="R30" s="28"/>
      <c r="S30" s="23">
        <f>Q30*F30</f>
        <v>2.4</v>
      </c>
      <c r="T30" s="23"/>
      <c r="U30" s="23" t="str">
        <f>IF(S30&gt;O30,"OK","NOT OK")</f>
        <v>OK</v>
      </c>
      <c r="V30" s="23"/>
    </row>
    <row r="31" spans="2:22" x14ac:dyDescent="0.3">
      <c r="B31" s="26" t="s">
        <v>37</v>
      </c>
      <c r="C31" s="26"/>
      <c r="D31" s="26">
        <v>10</v>
      </c>
      <c r="E31" s="26"/>
      <c r="F31" s="23">
        <f t="shared" ref="F31:F42" si="6">D31*12</f>
        <v>120</v>
      </c>
      <c r="G31" s="23"/>
      <c r="H31" s="6">
        <v>0</v>
      </c>
      <c r="I31" s="23">
        <f t="shared" ref="I31:I42" si="7">H31*L31/N31</f>
        <v>0</v>
      </c>
      <c r="J31" s="23"/>
      <c r="K31" s="23"/>
      <c r="L31" s="23">
        <v>5</v>
      </c>
      <c r="M31" s="23"/>
      <c r="N31" s="5">
        <v>1</v>
      </c>
      <c r="O31" s="28">
        <f t="shared" si="5"/>
        <v>0</v>
      </c>
      <c r="P31" s="28"/>
      <c r="Q31" s="28">
        <v>0.02</v>
      </c>
      <c r="R31" s="28"/>
      <c r="S31" s="23">
        <f t="shared" ref="S31:S42" si="8">Q31*F31</f>
        <v>2.4</v>
      </c>
      <c r="T31" s="23"/>
      <c r="U31" s="23" t="str">
        <f t="shared" ref="U31:U41" si="9">IF(S31&gt;O31,"OK","NOT OK")</f>
        <v>OK</v>
      </c>
      <c r="V31" s="23"/>
    </row>
    <row r="32" spans="2:22" x14ac:dyDescent="0.3">
      <c r="B32" s="26" t="s">
        <v>38</v>
      </c>
      <c r="C32" s="26"/>
      <c r="D32" s="26">
        <v>10</v>
      </c>
      <c r="E32" s="26"/>
      <c r="F32" s="23">
        <f t="shared" si="6"/>
        <v>120</v>
      </c>
      <c r="G32" s="23"/>
      <c r="H32" s="6">
        <v>0</v>
      </c>
      <c r="I32" s="23">
        <f t="shared" si="7"/>
        <v>0</v>
      </c>
      <c r="J32" s="23"/>
      <c r="K32" s="23"/>
      <c r="L32" s="23">
        <v>5</v>
      </c>
      <c r="M32" s="23"/>
      <c r="N32" s="5">
        <v>1</v>
      </c>
      <c r="O32" s="28">
        <f t="shared" si="5"/>
        <v>0</v>
      </c>
      <c r="P32" s="28"/>
      <c r="Q32" s="28">
        <v>0.02</v>
      </c>
      <c r="R32" s="28"/>
      <c r="S32" s="23">
        <f t="shared" si="8"/>
        <v>2.4</v>
      </c>
      <c r="T32" s="23"/>
      <c r="U32" s="23" t="str">
        <f t="shared" si="9"/>
        <v>OK</v>
      </c>
      <c r="V32" s="23"/>
    </row>
    <row r="33" spans="2:22" x14ac:dyDescent="0.3">
      <c r="B33" s="26" t="s">
        <v>39</v>
      </c>
      <c r="C33" s="26"/>
      <c r="D33" s="26">
        <v>10</v>
      </c>
      <c r="E33" s="26"/>
      <c r="F33" s="23">
        <f t="shared" si="6"/>
        <v>120</v>
      </c>
      <c r="G33" s="23"/>
      <c r="H33" s="6">
        <v>0</v>
      </c>
      <c r="I33" s="23">
        <f t="shared" si="7"/>
        <v>0</v>
      </c>
      <c r="J33" s="23"/>
      <c r="K33" s="23"/>
      <c r="L33" s="23">
        <v>5</v>
      </c>
      <c r="M33" s="23"/>
      <c r="N33" s="5">
        <v>1</v>
      </c>
      <c r="O33" s="28">
        <f t="shared" si="5"/>
        <v>0</v>
      </c>
      <c r="P33" s="28"/>
      <c r="Q33" s="28">
        <v>0.02</v>
      </c>
      <c r="R33" s="28"/>
      <c r="S33" s="23">
        <f t="shared" si="8"/>
        <v>2.4</v>
      </c>
      <c r="T33" s="23"/>
      <c r="U33" s="23" t="str">
        <f t="shared" si="9"/>
        <v>OK</v>
      </c>
      <c r="V33" s="23"/>
    </row>
    <row r="34" spans="2:22" x14ac:dyDescent="0.3">
      <c r="B34" s="26" t="s">
        <v>40</v>
      </c>
      <c r="C34" s="26"/>
      <c r="D34" s="26">
        <v>10</v>
      </c>
      <c r="E34" s="26"/>
      <c r="F34" s="23">
        <f t="shared" si="6"/>
        <v>120</v>
      </c>
      <c r="G34" s="23"/>
      <c r="H34" s="6">
        <v>0</v>
      </c>
      <c r="I34" s="23">
        <f t="shared" si="7"/>
        <v>0</v>
      </c>
      <c r="J34" s="23"/>
      <c r="K34" s="23"/>
      <c r="L34" s="23">
        <v>5</v>
      </c>
      <c r="M34" s="23"/>
      <c r="N34" s="5">
        <v>1</v>
      </c>
      <c r="O34" s="28">
        <f t="shared" si="5"/>
        <v>0</v>
      </c>
      <c r="P34" s="28"/>
      <c r="Q34" s="28">
        <v>0.02</v>
      </c>
      <c r="R34" s="28"/>
      <c r="S34" s="23">
        <f t="shared" si="8"/>
        <v>2.4</v>
      </c>
      <c r="T34" s="23"/>
      <c r="U34" s="23" t="str">
        <f t="shared" si="9"/>
        <v>OK</v>
      </c>
      <c r="V34" s="23"/>
    </row>
    <row r="35" spans="2:22" x14ac:dyDescent="0.3">
      <c r="B35" s="26" t="s">
        <v>41</v>
      </c>
      <c r="C35" s="26"/>
      <c r="D35" s="26">
        <v>10</v>
      </c>
      <c r="E35" s="26"/>
      <c r="F35" s="23">
        <f t="shared" si="6"/>
        <v>120</v>
      </c>
      <c r="G35" s="23"/>
      <c r="H35" s="6">
        <v>0</v>
      </c>
      <c r="I35" s="23">
        <f t="shared" si="7"/>
        <v>0</v>
      </c>
      <c r="J35" s="23"/>
      <c r="K35" s="23"/>
      <c r="L35" s="23">
        <v>5</v>
      </c>
      <c r="M35" s="23"/>
      <c r="N35" s="5">
        <v>1</v>
      </c>
      <c r="O35" s="28">
        <f t="shared" si="5"/>
        <v>0</v>
      </c>
      <c r="P35" s="28"/>
      <c r="Q35" s="28">
        <v>0.02</v>
      </c>
      <c r="R35" s="28"/>
      <c r="S35" s="23">
        <f t="shared" si="8"/>
        <v>2.4</v>
      </c>
      <c r="T35" s="23"/>
      <c r="U35" s="23" t="str">
        <f t="shared" si="9"/>
        <v>OK</v>
      </c>
      <c r="V35" s="23"/>
    </row>
    <row r="36" spans="2:22" x14ac:dyDescent="0.3">
      <c r="B36" s="26" t="s">
        <v>42</v>
      </c>
      <c r="C36" s="26"/>
      <c r="D36" s="26">
        <v>10</v>
      </c>
      <c r="E36" s="26"/>
      <c r="F36" s="23">
        <f t="shared" si="6"/>
        <v>120</v>
      </c>
      <c r="G36" s="23"/>
      <c r="H36" s="6">
        <v>0</v>
      </c>
      <c r="I36" s="23">
        <f t="shared" si="7"/>
        <v>0</v>
      </c>
      <c r="J36" s="23"/>
      <c r="K36" s="23"/>
      <c r="L36" s="23">
        <v>5</v>
      </c>
      <c r="M36" s="23"/>
      <c r="N36" s="5">
        <v>1</v>
      </c>
      <c r="O36" s="28">
        <f t="shared" si="5"/>
        <v>0</v>
      </c>
      <c r="P36" s="28"/>
      <c r="Q36" s="28">
        <v>0.02</v>
      </c>
      <c r="R36" s="28"/>
      <c r="S36" s="23">
        <f t="shared" si="8"/>
        <v>2.4</v>
      </c>
      <c r="T36" s="23"/>
      <c r="U36" s="23" t="str">
        <f t="shared" si="9"/>
        <v>OK</v>
      </c>
      <c r="V36" s="23"/>
    </row>
    <row r="37" spans="2:22" x14ac:dyDescent="0.3">
      <c r="B37" s="26" t="s">
        <v>43</v>
      </c>
      <c r="C37" s="26"/>
      <c r="D37" s="26">
        <v>10</v>
      </c>
      <c r="E37" s="26"/>
      <c r="F37" s="23">
        <f t="shared" si="6"/>
        <v>120</v>
      </c>
      <c r="G37" s="23"/>
      <c r="H37" s="6">
        <v>0</v>
      </c>
      <c r="I37" s="23">
        <f t="shared" si="7"/>
        <v>0</v>
      </c>
      <c r="J37" s="23"/>
      <c r="K37" s="23"/>
      <c r="L37" s="23">
        <v>5</v>
      </c>
      <c r="M37" s="23"/>
      <c r="N37" s="5">
        <v>1</v>
      </c>
      <c r="O37" s="28">
        <f t="shared" si="5"/>
        <v>0</v>
      </c>
      <c r="P37" s="28"/>
      <c r="Q37" s="28">
        <v>0.02</v>
      </c>
      <c r="R37" s="28"/>
      <c r="S37" s="23">
        <f t="shared" si="8"/>
        <v>2.4</v>
      </c>
      <c r="T37" s="23"/>
      <c r="U37" s="23" t="str">
        <f t="shared" si="9"/>
        <v>OK</v>
      </c>
      <c r="V37" s="23"/>
    </row>
    <row r="38" spans="2:22" x14ac:dyDescent="0.3">
      <c r="B38" s="26" t="s">
        <v>44</v>
      </c>
      <c r="C38" s="26"/>
      <c r="D38" s="26">
        <v>10</v>
      </c>
      <c r="E38" s="26"/>
      <c r="F38" s="23">
        <f t="shared" si="6"/>
        <v>120</v>
      </c>
      <c r="G38" s="23"/>
      <c r="H38" s="6">
        <v>0</v>
      </c>
      <c r="I38" s="23">
        <f t="shared" si="7"/>
        <v>0</v>
      </c>
      <c r="J38" s="23"/>
      <c r="K38" s="23"/>
      <c r="L38" s="23">
        <v>5</v>
      </c>
      <c r="M38" s="23"/>
      <c r="N38" s="5">
        <v>1</v>
      </c>
      <c r="O38" s="28">
        <f t="shared" si="5"/>
        <v>0</v>
      </c>
      <c r="P38" s="28"/>
      <c r="Q38" s="28">
        <v>0.02</v>
      </c>
      <c r="R38" s="28"/>
      <c r="S38" s="23">
        <f t="shared" si="8"/>
        <v>2.4</v>
      </c>
      <c r="T38" s="23"/>
      <c r="U38" s="23" t="str">
        <f t="shared" si="9"/>
        <v>OK</v>
      </c>
      <c r="V38" s="23"/>
    </row>
    <row r="39" spans="2:22" x14ac:dyDescent="0.3">
      <c r="B39" s="26" t="s">
        <v>45</v>
      </c>
      <c r="C39" s="26"/>
      <c r="D39" s="26">
        <v>10</v>
      </c>
      <c r="E39" s="26"/>
      <c r="F39" s="23">
        <f t="shared" si="6"/>
        <v>120</v>
      </c>
      <c r="G39" s="23"/>
      <c r="H39" s="6">
        <v>0</v>
      </c>
      <c r="I39" s="23">
        <f t="shared" si="7"/>
        <v>0</v>
      </c>
      <c r="J39" s="23"/>
      <c r="K39" s="23"/>
      <c r="L39" s="23">
        <v>5</v>
      </c>
      <c r="M39" s="23"/>
      <c r="N39" s="5">
        <v>1</v>
      </c>
      <c r="O39" s="28">
        <f t="shared" si="5"/>
        <v>0</v>
      </c>
      <c r="P39" s="28"/>
      <c r="Q39" s="28">
        <v>0.02</v>
      </c>
      <c r="R39" s="28"/>
      <c r="S39" s="23">
        <f t="shared" si="8"/>
        <v>2.4</v>
      </c>
      <c r="T39" s="23"/>
      <c r="U39" s="23" t="str">
        <f t="shared" si="9"/>
        <v>OK</v>
      </c>
      <c r="V39" s="23"/>
    </row>
    <row r="40" spans="2:22" x14ac:dyDescent="0.3">
      <c r="B40" s="26" t="s">
        <v>46</v>
      </c>
      <c r="C40" s="26"/>
      <c r="D40" s="26">
        <v>10</v>
      </c>
      <c r="E40" s="26"/>
      <c r="F40" s="23">
        <f t="shared" si="6"/>
        <v>120</v>
      </c>
      <c r="G40" s="23"/>
      <c r="H40" s="6">
        <v>0</v>
      </c>
      <c r="I40" s="23">
        <f t="shared" si="7"/>
        <v>0</v>
      </c>
      <c r="J40" s="23"/>
      <c r="K40" s="23"/>
      <c r="L40" s="23">
        <v>5</v>
      </c>
      <c r="M40" s="23"/>
      <c r="N40" s="5">
        <v>1</v>
      </c>
      <c r="O40" s="28">
        <f t="shared" si="5"/>
        <v>0</v>
      </c>
      <c r="P40" s="28"/>
      <c r="Q40" s="28">
        <v>0.02</v>
      </c>
      <c r="R40" s="28"/>
      <c r="S40" s="23">
        <f t="shared" si="8"/>
        <v>2.4</v>
      </c>
      <c r="T40" s="23"/>
      <c r="U40" s="23" t="str">
        <f t="shared" si="9"/>
        <v>OK</v>
      </c>
      <c r="V40" s="23"/>
    </row>
    <row r="41" spans="2:22" x14ac:dyDescent="0.3">
      <c r="B41" s="26" t="s">
        <v>47</v>
      </c>
      <c r="C41" s="26"/>
      <c r="D41" s="26">
        <v>8</v>
      </c>
      <c r="E41" s="26"/>
      <c r="F41" s="23">
        <f t="shared" si="6"/>
        <v>96</v>
      </c>
      <c r="G41" s="23"/>
      <c r="H41" s="6">
        <v>0</v>
      </c>
      <c r="I41" s="23">
        <f t="shared" si="7"/>
        <v>0</v>
      </c>
      <c r="J41" s="23"/>
      <c r="K41" s="23"/>
      <c r="L41" s="23">
        <v>5</v>
      </c>
      <c r="M41" s="23"/>
      <c r="N41" s="5">
        <v>1</v>
      </c>
      <c r="O41" s="28">
        <f t="shared" si="5"/>
        <v>0</v>
      </c>
      <c r="P41" s="28"/>
      <c r="Q41" s="28">
        <v>0.02</v>
      </c>
      <c r="R41" s="28"/>
      <c r="S41" s="23">
        <f t="shared" si="8"/>
        <v>1.92</v>
      </c>
      <c r="T41" s="23"/>
      <c r="U41" s="23" t="str">
        <f t="shared" si="9"/>
        <v>OK</v>
      </c>
      <c r="V41" s="23"/>
    </row>
    <row r="42" spans="2:22" x14ac:dyDescent="0.3">
      <c r="B42" s="26" t="s">
        <v>48</v>
      </c>
      <c r="C42" s="26"/>
      <c r="D42" s="23">
        <v>0</v>
      </c>
      <c r="E42" s="23"/>
      <c r="F42" s="23">
        <f t="shared" si="6"/>
        <v>0</v>
      </c>
      <c r="G42" s="23"/>
      <c r="H42" s="6">
        <v>0</v>
      </c>
      <c r="I42" s="23">
        <f t="shared" si="7"/>
        <v>0</v>
      </c>
      <c r="J42" s="23"/>
      <c r="K42" s="23"/>
      <c r="L42" s="23">
        <v>5</v>
      </c>
      <c r="M42" s="23"/>
      <c r="N42" s="5">
        <v>1</v>
      </c>
      <c r="O42" s="28">
        <f t="shared" si="5"/>
        <v>0</v>
      </c>
      <c r="P42" s="28"/>
      <c r="Q42" s="28">
        <v>0.02</v>
      </c>
      <c r="R42" s="28"/>
      <c r="S42" s="23">
        <f t="shared" si="8"/>
        <v>0</v>
      </c>
      <c r="T42" s="23"/>
      <c r="U42" s="23" t="s">
        <v>51</v>
      </c>
      <c r="V42" s="23"/>
    </row>
    <row r="45" spans="2:22" x14ac:dyDescent="0.3">
      <c r="B45" s="29" t="s">
        <v>53</v>
      </c>
      <c r="C45" s="29"/>
      <c r="D45" s="29"/>
      <c r="E45" s="29"/>
      <c r="F45" s="1"/>
      <c r="G45" s="1"/>
      <c r="H45" s="1"/>
    </row>
    <row r="46" spans="2:22" x14ac:dyDescent="0.3">
      <c r="B46" s="20" t="s">
        <v>27</v>
      </c>
      <c r="C46" s="20"/>
      <c r="D46" s="20" t="s">
        <v>29</v>
      </c>
      <c r="E46" s="20"/>
      <c r="F46" s="20" t="s">
        <v>28</v>
      </c>
      <c r="G46" s="20"/>
      <c r="H46" s="27" t="s">
        <v>30</v>
      </c>
      <c r="I46" s="20" t="s">
        <v>31</v>
      </c>
      <c r="J46" s="20"/>
      <c r="K46" s="20"/>
      <c r="L46" s="26" t="s">
        <v>52</v>
      </c>
      <c r="M46" s="26"/>
      <c r="N46" s="26" t="s">
        <v>34</v>
      </c>
      <c r="O46" s="20" t="s">
        <v>32</v>
      </c>
      <c r="P46" s="20"/>
      <c r="Q46" s="26" t="s">
        <v>35</v>
      </c>
      <c r="R46" s="26"/>
      <c r="S46" s="20" t="s">
        <v>33</v>
      </c>
      <c r="T46" s="20"/>
      <c r="U46" s="20" t="s">
        <v>21</v>
      </c>
      <c r="V46" s="20"/>
    </row>
    <row r="47" spans="2:22" x14ac:dyDescent="0.3">
      <c r="B47" s="20"/>
      <c r="C47" s="20"/>
      <c r="D47" s="20"/>
      <c r="E47" s="20"/>
      <c r="F47" s="20"/>
      <c r="G47" s="20"/>
      <c r="H47" s="27"/>
      <c r="I47" s="20"/>
      <c r="J47" s="20"/>
      <c r="K47" s="20"/>
      <c r="L47" s="26"/>
      <c r="M47" s="26"/>
      <c r="N47" s="26"/>
      <c r="O47" s="20"/>
      <c r="P47" s="20"/>
      <c r="Q47" s="26"/>
      <c r="R47" s="26"/>
      <c r="S47" s="20"/>
      <c r="T47" s="20"/>
      <c r="U47" s="20"/>
      <c r="V47" s="20"/>
    </row>
    <row r="48" spans="2:22" x14ac:dyDescent="0.3">
      <c r="B48" s="20"/>
      <c r="C48" s="20"/>
      <c r="D48" s="20"/>
      <c r="E48" s="20"/>
      <c r="F48" s="20"/>
      <c r="G48" s="20"/>
      <c r="H48" s="27"/>
      <c r="I48" s="20"/>
      <c r="J48" s="20"/>
      <c r="K48" s="20"/>
      <c r="L48" s="26"/>
      <c r="M48" s="26"/>
      <c r="N48" s="26"/>
      <c r="O48" s="20"/>
      <c r="P48" s="20"/>
      <c r="Q48" s="26"/>
      <c r="R48" s="26"/>
      <c r="S48" s="20"/>
      <c r="T48" s="20"/>
      <c r="U48" s="20"/>
      <c r="V48" s="20"/>
    </row>
    <row r="49" spans="2:22" x14ac:dyDescent="0.3">
      <c r="B49" s="20" t="s">
        <v>36</v>
      </c>
      <c r="C49" s="20"/>
      <c r="D49" s="26">
        <v>10</v>
      </c>
      <c r="E49" s="26"/>
      <c r="F49" s="20">
        <f>D49*12</f>
        <v>120</v>
      </c>
      <c r="G49" s="20"/>
      <c r="H49" s="6">
        <v>0</v>
      </c>
      <c r="I49" s="23">
        <f>H49*L49/N49</f>
        <v>0</v>
      </c>
      <c r="J49" s="23"/>
      <c r="K49" s="23"/>
      <c r="L49" s="23">
        <v>5</v>
      </c>
      <c r="M49" s="23"/>
      <c r="N49" s="5">
        <v>1</v>
      </c>
      <c r="O49" s="28">
        <f t="shared" ref="O49:O61" si="10">ABS(I49-I50)</f>
        <v>0</v>
      </c>
      <c r="P49" s="28"/>
      <c r="Q49" s="28">
        <v>0.02</v>
      </c>
      <c r="R49" s="28"/>
      <c r="S49" s="23">
        <f>Q49*F49</f>
        <v>2.4</v>
      </c>
      <c r="T49" s="23"/>
      <c r="U49" s="23" t="str">
        <f>IF(S49&gt;O49,"OK","NOT OK")</f>
        <v>OK</v>
      </c>
      <c r="V49" s="23"/>
    </row>
    <row r="50" spans="2:22" x14ac:dyDescent="0.3">
      <c r="B50" s="26" t="s">
        <v>37</v>
      </c>
      <c r="C50" s="26"/>
      <c r="D50" s="26">
        <v>10</v>
      </c>
      <c r="E50" s="26"/>
      <c r="F50" s="23">
        <f t="shared" ref="F50:F61" si="11">D50*12</f>
        <v>120</v>
      </c>
      <c r="G50" s="23"/>
      <c r="H50" s="6">
        <v>0</v>
      </c>
      <c r="I50" s="23">
        <f t="shared" ref="I50:I61" si="12">H50*L50/N50</f>
        <v>0</v>
      </c>
      <c r="J50" s="23"/>
      <c r="K50" s="23"/>
      <c r="L50" s="23">
        <v>5</v>
      </c>
      <c r="M50" s="23"/>
      <c r="N50" s="5">
        <v>1</v>
      </c>
      <c r="O50" s="28">
        <f t="shared" si="10"/>
        <v>0</v>
      </c>
      <c r="P50" s="28"/>
      <c r="Q50" s="28">
        <v>0.02</v>
      </c>
      <c r="R50" s="28"/>
      <c r="S50" s="23">
        <f t="shared" ref="S50:S61" si="13">Q50*F50</f>
        <v>2.4</v>
      </c>
      <c r="T50" s="23"/>
      <c r="U50" s="23" t="str">
        <f t="shared" ref="U50:U60" si="14">IF(S50&gt;O50,"OK","NOT OK")</f>
        <v>OK</v>
      </c>
      <c r="V50" s="23"/>
    </row>
    <row r="51" spans="2:22" x14ac:dyDescent="0.3">
      <c r="B51" s="26" t="s">
        <v>38</v>
      </c>
      <c r="C51" s="26"/>
      <c r="D51" s="26">
        <v>10</v>
      </c>
      <c r="E51" s="26"/>
      <c r="F51" s="23">
        <f t="shared" si="11"/>
        <v>120</v>
      </c>
      <c r="G51" s="23"/>
      <c r="H51" s="6">
        <v>0</v>
      </c>
      <c r="I51" s="23">
        <f t="shared" si="12"/>
        <v>0</v>
      </c>
      <c r="J51" s="23"/>
      <c r="K51" s="23"/>
      <c r="L51" s="23">
        <v>5</v>
      </c>
      <c r="M51" s="23"/>
      <c r="N51" s="5">
        <v>1</v>
      </c>
      <c r="O51" s="28">
        <f t="shared" si="10"/>
        <v>0</v>
      </c>
      <c r="P51" s="28"/>
      <c r="Q51" s="28">
        <v>0.02</v>
      </c>
      <c r="R51" s="28"/>
      <c r="S51" s="23">
        <f t="shared" si="13"/>
        <v>2.4</v>
      </c>
      <c r="T51" s="23"/>
      <c r="U51" s="23" t="str">
        <f t="shared" si="14"/>
        <v>OK</v>
      </c>
      <c r="V51" s="23"/>
    </row>
    <row r="52" spans="2:22" x14ac:dyDescent="0.3">
      <c r="B52" s="26" t="s">
        <v>39</v>
      </c>
      <c r="C52" s="26"/>
      <c r="D52" s="26">
        <v>10</v>
      </c>
      <c r="E52" s="26"/>
      <c r="F52" s="23">
        <f t="shared" si="11"/>
        <v>120</v>
      </c>
      <c r="G52" s="23"/>
      <c r="H52" s="6">
        <v>0</v>
      </c>
      <c r="I52" s="23">
        <f t="shared" si="12"/>
        <v>0</v>
      </c>
      <c r="J52" s="23"/>
      <c r="K52" s="23"/>
      <c r="L52" s="23">
        <v>5</v>
      </c>
      <c r="M52" s="23"/>
      <c r="N52" s="5">
        <v>1</v>
      </c>
      <c r="O52" s="28">
        <f t="shared" si="10"/>
        <v>0</v>
      </c>
      <c r="P52" s="28"/>
      <c r="Q52" s="28">
        <v>0.02</v>
      </c>
      <c r="R52" s="28"/>
      <c r="S52" s="23">
        <f t="shared" si="13"/>
        <v>2.4</v>
      </c>
      <c r="T52" s="23"/>
      <c r="U52" s="23" t="str">
        <f t="shared" si="14"/>
        <v>OK</v>
      </c>
      <c r="V52" s="23"/>
    </row>
    <row r="53" spans="2:22" x14ac:dyDescent="0.3">
      <c r="B53" s="26" t="s">
        <v>40</v>
      </c>
      <c r="C53" s="26"/>
      <c r="D53" s="26">
        <v>10</v>
      </c>
      <c r="E53" s="26"/>
      <c r="F53" s="23">
        <f t="shared" si="11"/>
        <v>120</v>
      </c>
      <c r="G53" s="23"/>
      <c r="H53" s="6">
        <v>0</v>
      </c>
      <c r="I53" s="23">
        <f t="shared" si="12"/>
        <v>0</v>
      </c>
      <c r="J53" s="23"/>
      <c r="K53" s="23"/>
      <c r="L53" s="23">
        <v>5</v>
      </c>
      <c r="M53" s="23"/>
      <c r="N53" s="5">
        <v>1</v>
      </c>
      <c r="O53" s="28">
        <f t="shared" si="10"/>
        <v>0</v>
      </c>
      <c r="P53" s="28"/>
      <c r="Q53" s="28">
        <v>0.02</v>
      </c>
      <c r="R53" s="28"/>
      <c r="S53" s="23">
        <f t="shared" si="13"/>
        <v>2.4</v>
      </c>
      <c r="T53" s="23"/>
      <c r="U53" s="23" t="str">
        <f t="shared" si="14"/>
        <v>OK</v>
      </c>
      <c r="V53" s="23"/>
    </row>
    <row r="54" spans="2:22" x14ac:dyDescent="0.3">
      <c r="B54" s="26" t="s">
        <v>41</v>
      </c>
      <c r="C54" s="26"/>
      <c r="D54" s="26">
        <v>10</v>
      </c>
      <c r="E54" s="26"/>
      <c r="F54" s="23">
        <f t="shared" si="11"/>
        <v>120</v>
      </c>
      <c r="G54" s="23"/>
      <c r="H54" s="6">
        <v>0</v>
      </c>
      <c r="I54" s="23">
        <f t="shared" si="12"/>
        <v>0</v>
      </c>
      <c r="J54" s="23"/>
      <c r="K54" s="23"/>
      <c r="L54" s="23">
        <v>5</v>
      </c>
      <c r="M54" s="23"/>
      <c r="N54" s="5">
        <v>1</v>
      </c>
      <c r="O54" s="28">
        <f t="shared" si="10"/>
        <v>0</v>
      </c>
      <c r="P54" s="28"/>
      <c r="Q54" s="28">
        <v>0.02</v>
      </c>
      <c r="R54" s="28"/>
      <c r="S54" s="23">
        <f t="shared" si="13"/>
        <v>2.4</v>
      </c>
      <c r="T54" s="23"/>
      <c r="U54" s="23" t="str">
        <f t="shared" si="14"/>
        <v>OK</v>
      </c>
      <c r="V54" s="23"/>
    </row>
    <row r="55" spans="2:22" x14ac:dyDescent="0.3">
      <c r="B55" s="26" t="s">
        <v>42</v>
      </c>
      <c r="C55" s="26"/>
      <c r="D55" s="26">
        <v>10</v>
      </c>
      <c r="E55" s="26"/>
      <c r="F55" s="23">
        <f t="shared" si="11"/>
        <v>120</v>
      </c>
      <c r="G55" s="23"/>
      <c r="H55" s="6">
        <v>0</v>
      </c>
      <c r="I55" s="23">
        <f t="shared" si="12"/>
        <v>0</v>
      </c>
      <c r="J55" s="23"/>
      <c r="K55" s="23"/>
      <c r="L55" s="23">
        <v>5</v>
      </c>
      <c r="M55" s="23"/>
      <c r="N55" s="5">
        <v>1</v>
      </c>
      <c r="O55" s="28">
        <f t="shared" si="10"/>
        <v>0</v>
      </c>
      <c r="P55" s="28"/>
      <c r="Q55" s="28">
        <v>0.02</v>
      </c>
      <c r="R55" s="28"/>
      <c r="S55" s="23">
        <f t="shared" si="13"/>
        <v>2.4</v>
      </c>
      <c r="T55" s="23"/>
      <c r="U55" s="23" t="str">
        <f t="shared" si="14"/>
        <v>OK</v>
      </c>
      <c r="V55" s="23"/>
    </row>
    <row r="56" spans="2:22" x14ac:dyDescent="0.3">
      <c r="B56" s="26" t="s">
        <v>43</v>
      </c>
      <c r="C56" s="26"/>
      <c r="D56" s="26">
        <v>10</v>
      </c>
      <c r="E56" s="26"/>
      <c r="F56" s="23">
        <f t="shared" si="11"/>
        <v>120</v>
      </c>
      <c r="G56" s="23"/>
      <c r="H56" s="6">
        <v>0</v>
      </c>
      <c r="I56" s="23">
        <f t="shared" si="12"/>
        <v>0</v>
      </c>
      <c r="J56" s="23"/>
      <c r="K56" s="23"/>
      <c r="L56" s="23">
        <v>5</v>
      </c>
      <c r="M56" s="23"/>
      <c r="N56" s="5">
        <v>1</v>
      </c>
      <c r="O56" s="28">
        <f t="shared" si="10"/>
        <v>0</v>
      </c>
      <c r="P56" s="28"/>
      <c r="Q56" s="28">
        <v>0.02</v>
      </c>
      <c r="R56" s="28"/>
      <c r="S56" s="23">
        <f t="shared" si="13"/>
        <v>2.4</v>
      </c>
      <c r="T56" s="23"/>
      <c r="U56" s="23" t="str">
        <f t="shared" si="14"/>
        <v>OK</v>
      </c>
      <c r="V56" s="23"/>
    </row>
    <row r="57" spans="2:22" x14ac:dyDescent="0.3">
      <c r="B57" s="26" t="s">
        <v>44</v>
      </c>
      <c r="C57" s="26"/>
      <c r="D57" s="26">
        <v>10</v>
      </c>
      <c r="E57" s="26"/>
      <c r="F57" s="23">
        <f t="shared" si="11"/>
        <v>120</v>
      </c>
      <c r="G57" s="23"/>
      <c r="H57" s="6">
        <v>0</v>
      </c>
      <c r="I57" s="23">
        <f t="shared" si="12"/>
        <v>0</v>
      </c>
      <c r="J57" s="23"/>
      <c r="K57" s="23"/>
      <c r="L57" s="23">
        <v>5</v>
      </c>
      <c r="M57" s="23"/>
      <c r="N57" s="5">
        <v>1</v>
      </c>
      <c r="O57" s="28">
        <f t="shared" si="10"/>
        <v>0</v>
      </c>
      <c r="P57" s="28"/>
      <c r="Q57" s="28">
        <v>0.02</v>
      </c>
      <c r="R57" s="28"/>
      <c r="S57" s="23">
        <f t="shared" si="13"/>
        <v>2.4</v>
      </c>
      <c r="T57" s="23"/>
      <c r="U57" s="23" t="str">
        <f t="shared" si="14"/>
        <v>OK</v>
      </c>
      <c r="V57" s="23"/>
    </row>
    <row r="58" spans="2:22" x14ac:dyDescent="0.3">
      <c r="B58" s="26" t="s">
        <v>45</v>
      </c>
      <c r="C58" s="26"/>
      <c r="D58" s="26">
        <v>10</v>
      </c>
      <c r="E58" s="26"/>
      <c r="F58" s="23">
        <f t="shared" si="11"/>
        <v>120</v>
      </c>
      <c r="G58" s="23"/>
      <c r="H58" s="6">
        <v>0</v>
      </c>
      <c r="I58" s="23">
        <f t="shared" si="12"/>
        <v>0</v>
      </c>
      <c r="J58" s="23"/>
      <c r="K58" s="23"/>
      <c r="L58" s="23">
        <v>5</v>
      </c>
      <c r="M58" s="23"/>
      <c r="N58" s="5">
        <v>1</v>
      </c>
      <c r="O58" s="28">
        <f t="shared" si="10"/>
        <v>0</v>
      </c>
      <c r="P58" s="28"/>
      <c r="Q58" s="28">
        <v>0.02</v>
      </c>
      <c r="R58" s="28"/>
      <c r="S58" s="23">
        <f t="shared" si="13"/>
        <v>2.4</v>
      </c>
      <c r="T58" s="23"/>
      <c r="U58" s="23" t="str">
        <f t="shared" si="14"/>
        <v>OK</v>
      </c>
      <c r="V58" s="23"/>
    </row>
    <row r="59" spans="2:22" x14ac:dyDescent="0.3">
      <c r="B59" s="26" t="s">
        <v>46</v>
      </c>
      <c r="C59" s="26"/>
      <c r="D59" s="26">
        <v>10</v>
      </c>
      <c r="E59" s="26"/>
      <c r="F59" s="23">
        <f t="shared" si="11"/>
        <v>120</v>
      </c>
      <c r="G59" s="23"/>
      <c r="H59" s="6">
        <v>0</v>
      </c>
      <c r="I59" s="23">
        <f t="shared" si="12"/>
        <v>0</v>
      </c>
      <c r="J59" s="23"/>
      <c r="K59" s="23"/>
      <c r="L59" s="23">
        <v>5</v>
      </c>
      <c r="M59" s="23"/>
      <c r="N59" s="5">
        <v>1</v>
      </c>
      <c r="O59" s="28">
        <f t="shared" si="10"/>
        <v>0</v>
      </c>
      <c r="P59" s="28"/>
      <c r="Q59" s="28">
        <v>0.02</v>
      </c>
      <c r="R59" s="28"/>
      <c r="S59" s="23">
        <f t="shared" si="13"/>
        <v>2.4</v>
      </c>
      <c r="T59" s="23"/>
      <c r="U59" s="23" t="str">
        <f t="shared" si="14"/>
        <v>OK</v>
      </c>
      <c r="V59" s="23"/>
    </row>
    <row r="60" spans="2:22" x14ac:dyDescent="0.3">
      <c r="B60" s="26" t="s">
        <v>47</v>
      </c>
      <c r="C60" s="26"/>
      <c r="D60" s="26">
        <v>8</v>
      </c>
      <c r="E60" s="26"/>
      <c r="F60" s="23">
        <f t="shared" si="11"/>
        <v>96</v>
      </c>
      <c r="G60" s="23"/>
      <c r="H60" s="6">
        <v>0</v>
      </c>
      <c r="I60" s="23">
        <f t="shared" si="12"/>
        <v>0</v>
      </c>
      <c r="J60" s="23"/>
      <c r="K60" s="23"/>
      <c r="L60" s="23">
        <v>5</v>
      </c>
      <c r="M60" s="23"/>
      <c r="N60" s="5">
        <v>1</v>
      </c>
      <c r="O60" s="28">
        <f t="shared" si="10"/>
        <v>0</v>
      </c>
      <c r="P60" s="28"/>
      <c r="Q60" s="28">
        <v>0.02</v>
      </c>
      <c r="R60" s="28"/>
      <c r="S60" s="23">
        <f t="shared" si="13"/>
        <v>1.92</v>
      </c>
      <c r="T60" s="23"/>
      <c r="U60" s="23" t="str">
        <f t="shared" si="14"/>
        <v>OK</v>
      </c>
      <c r="V60" s="23"/>
    </row>
    <row r="61" spans="2:22" x14ac:dyDescent="0.3">
      <c r="B61" s="26" t="s">
        <v>48</v>
      </c>
      <c r="C61" s="26"/>
      <c r="D61" s="23">
        <v>0</v>
      </c>
      <c r="E61" s="23"/>
      <c r="F61" s="23">
        <f t="shared" si="11"/>
        <v>0</v>
      </c>
      <c r="G61" s="23"/>
      <c r="H61" s="6">
        <v>0</v>
      </c>
      <c r="I61" s="23">
        <f t="shared" si="12"/>
        <v>0</v>
      </c>
      <c r="J61" s="23"/>
      <c r="K61" s="23"/>
      <c r="L61" s="23">
        <v>5</v>
      </c>
      <c r="M61" s="23"/>
      <c r="N61" s="5">
        <v>1</v>
      </c>
      <c r="O61" s="28">
        <f t="shared" si="10"/>
        <v>0</v>
      </c>
      <c r="P61" s="28"/>
      <c r="Q61" s="28">
        <v>0.02</v>
      </c>
      <c r="R61" s="28"/>
      <c r="S61" s="23">
        <f t="shared" si="13"/>
        <v>0</v>
      </c>
      <c r="T61" s="23"/>
      <c r="U61" s="23" t="s">
        <v>51</v>
      </c>
      <c r="V61" s="23"/>
    </row>
    <row r="64" spans="2:22" x14ac:dyDescent="0.3">
      <c r="B64" s="29" t="s">
        <v>54</v>
      </c>
      <c r="C64" s="29"/>
      <c r="D64" s="29"/>
      <c r="E64" s="29"/>
      <c r="F64" s="1"/>
      <c r="G64" s="1"/>
      <c r="H64" s="1"/>
    </row>
    <row r="65" spans="2:22" x14ac:dyDescent="0.3">
      <c r="B65" s="20" t="s">
        <v>27</v>
      </c>
      <c r="C65" s="20"/>
      <c r="D65" s="20" t="s">
        <v>29</v>
      </c>
      <c r="E65" s="20"/>
      <c r="F65" s="20" t="s">
        <v>28</v>
      </c>
      <c r="G65" s="20"/>
      <c r="H65" s="27" t="s">
        <v>30</v>
      </c>
      <c r="I65" s="20" t="s">
        <v>31</v>
      </c>
      <c r="J65" s="20"/>
      <c r="K65" s="20"/>
      <c r="L65" s="26" t="s">
        <v>52</v>
      </c>
      <c r="M65" s="26"/>
      <c r="N65" s="26" t="s">
        <v>34</v>
      </c>
      <c r="O65" s="20" t="s">
        <v>32</v>
      </c>
      <c r="P65" s="20"/>
      <c r="Q65" s="26" t="s">
        <v>35</v>
      </c>
      <c r="R65" s="26"/>
      <c r="S65" s="20" t="s">
        <v>33</v>
      </c>
      <c r="T65" s="20"/>
      <c r="U65" s="20" t="s">
        <v>21</v>
      </c>
      <c r="V65" s="20"/>
    </row>
    <row r="66" spans="2:22" x14ac:dyDescent="0.3">
      <c r="B66" s="20"/>
      <c r="C66" s="20"/>
      <c r="D66" s="20"/>
      <c r="E66" s="20"/>
      <c r="F66" s="20"/>
      <c r="G66" s="20"/>
      <c r="H66" s="27"/>
      <c r="I66" s="20"/>
      <c r="J66" s="20"/>
      <c r="K66" s="20"/>
      <c r="L66" s="26"/>
      <c r="M66" s="26"/>
      <c r="N66" s="26"/>
      <c r="O66" s="20"/>
      <c r="P66" s="20"/>
      <c r="Q66" s="26"/>
      <c r="R66" s="26"/>
      <c r="S66" s="20"/>
      <c r="T66" s="20"/>
      <c r="U66" s="20"/>
      <c r="V66" s="20"/>
    </row>
    <row r="67" spans="2:22" x14ac:dyDescent="0.3">
      <c r="B67" s="20"/>
      <c r="C67" s="20"/>
      <c r="D67" s="20"/>
      <c r="E67" s="20"/>
      <c r="F67" s="20"/>
      <c r="G67" s="20"/>
      <c r="H67" s="27"/>
      <c r="I67" s="20"/>
      <c r="J67" s="20"/>
      <c r="K67" s="20"/>
      <c r="L67" s="26"/>
      <c r="M67" s="26"/>
      <c r="N67" s="26"/>
      <c r="O67" s="20"/>
      <c r="P67" s="20"/>
      <c r="Q67" s="26"/>
      <c r="R67" s="26"/>
      <c r="S67" s="20"/>
      <c r="T67" s="20"/>
      <c r="U67" s="20"/>
      <c r="V67" s="20"/>
    </row>
    <row r="68" spans="2:22" x14ac:dyDescent="0.3">
      <c r="B68" s="20" t="s">
        <v>36</v>
      </c>
      <c r="C68" s="20"/>
      <c r="D68" s="26">
        <v>10</v>
      </c>
      <c r="E68" s="26"/>
      <c r="F68" s="20">
        <f>D68*12</f>
        <v>120</v>
      </c>
      <c r="G68" s="20"/>
      <c r="H68" s="4">
        <v>3.3811200000000001</v>
      </c>
      <c r="I68" s="23">
        <f>H68*L68/N68</f>
        <v>16.9056</v>
      </c>
      <c r="J68" s="23"/>
      <c r="K68" s="23"/>
      <c r="L68" s="23">
        <v>5</v>
      </c>
      <c r="M68" s="23"/>
      <c r="N68" s="5">
        <v>1</v>
      </c>
      <c r="O68" s="28">
        <f t="shared" ref="O68:O80" si="15">ABS(I68-I69)</f>
        <v>1.1465449999999997</v>
      </c>
      <c r="P68" s="28"/>
      <c r="Q68" s="28">
        <v>0.02</v>
      </c>
      <c r="R68" s="28"/>
      <c r="S68" s="23">
        <f>Q68*F68</f>
        <v>2.4</v>
      </c>
      <c r="T68" s="23"/>
      <c r="U68" s="23" t="str">
        <f>IF(S68&gt;O68,"OK","NOT OK")</f>
        <v>OK</v>
      </c>
      <c r="V68" s="23"/>
    </row>
    <row r="69" spans="2:22" x14ac:dyDescent="0.3">
      <c r="B69" s="26" t="s">
        <v>37</v>
      </c>
      <c r="C69" s="26"/>
      <c r="D69" s="26">
        <v>10</v>
      </c>
      <c r="E69" s="26"/>
      <c r="F69" s="23">
        <f t="shared" ref="F69:F80" si="16">D69*12</f>
        <v>120</v>
      </c>
      <c r="G69" s="23"/>
      <c r="H69" s="4">
        <v>3.1518109999999999</v>
      </c>
      <c r="I69" s="23">
        <f t="shared" ref="I69:I80" si="17">H69*L69/N69</f>
        <v>15.759055</v>
      </c>
      <c r="J69" s="23"/>
      <c r="K69" s="23"/>
      <c r="L69" s="23">
        <v>5</v>
      </c>
      <c r="M69" s="23"/>
      <c r="N69" s="5">
        <v>1</v>
      </c>
      <c r="O69" s="28">
        <f t="shared" si="15"/>
        <v>1.161900000000001</v>
      </c>
      <c r="P69" s="28"/>
      <c r="Q69" s="28">
        <v>0.02</v>
      </c>
      <c r="R69" s="28"/>
      <c r="S69" s="23">
        <f t="shared" ref="S69:S80" si="18">Q69*F69</f>
        <v>2.4</v>
      </c>
      <c r="T69" s="23"/>
      <c r="U69" s="23" t="str">
        <f t="shared" ref="U69:U79" si="19">IF(S69&gt;O69,"OK","NOT OK")</f>
        <v>OK</v>
      </c>
      <c r="V69" s="23"/>
    </row>
    <row r="70" spans="2:22" x14ac:dyDescent="0.3">
      <c r="B70" s="26" t="s">
        <v>38</v>
      </c>
      <c r="C70" s="26"/>
      <c r="D70" s="26">
        <v>10</v>
      </c>
      <c r="E70" s="26"/>
      <c r="F70" s="23">
        <f t="shared" si="16"/>
        <v>120</v>
      </c>
      <c r="G70" s="23"/>
      <c r="H70" s="4">
        <v>2.9194309999999999</v>
      </c>
      <c r="I70" s="23">
        <f t="shared" si="17"/>
        <v>14.597154999999999</v>
      </c>
      <c r="J70" s="23"/>
      <c r="K70" s="23"/>
      <c r="L70" s="23">
        <v>5</v>
      </c>
      <c r="M70" s="23"/>
      <c r="N70" s="5">
        <v>1</v>
      </c>
      <c r="O70" s="28">
        <f t="shared" si="15"/>
        <v>1.3343599999999984</v>
      </c>
      <c r="P70" s="28"/>
      <c r="Q70" s="28">
        <v>0.02</v>
      </c>
      <c r="R70" s="28"/>
      <c r="S70" s="23">
        <f t="shared" si="18"/>
        <v>2.4</v>
      </c>
      <c r="T70" s="23"/>
      <c r="U70" s="23" t="str">
        <f t="shared" si="19"/>
        <v>OK</v>
      </c>
      <c r="V70" s="23"/>
    </row>
    <row r="71" spans="2:22" x14ac:dyDescent="0.3">
      <c r="B71" s="26" t="s">
        <v>39</v>
      </c>
      <c r="C71" s="26"/>
      <c r="D71" s="26">
        <v>10</v>
      </c>
      <c r="E71" s="26"/>
      <c r="F71" s="23">
        <f t="shared" si="16"/>
        <v>120</v>
      </c>
      <c r="G71" s="23"/>
      <c r="H71" s="4">
        <v>2.6525590000000001</v>
      </c>
      <c r="I71" s="23">
        <f t="shared" si="17"/>
        <v>13.262795000000001</v>
      </c>
      <c r="J71" s="23"/>
      <c r="K71" s="23"/>
      <c r="L71" s="23">
        <v>5</v>
      </c>
      <c r="M71" s="23"/>
      <c r="N71" s="5">
        <v>1</v>
      </c>
      <c r="O71" s="28">
        <f t="shared" si="15"/>
        <v>1.4879600000000011</v>
      </c>
      <c r="P71" s="28"/>
      <c r="Q71" s="28">
        <v>0.02</v>
      </c>
      <c r="R71" s="28"/>
      <c r="S71" s="23">
        <f t="shared" si="18"/>
        <v>2.4</v>
      </c>
      <c r="T71" s="23"/>
      <c r="U71" s="23" t="str">
        <f t="shared" si="19"/>
        <v>OK</v>
      </c>
      <c r="V71" s="23"/>
    </row>
    <row r="72" spans="2:22" x14ac:dyDescent="0.3">
      <c r="B72" s="26" t="s">
        <v>40</v>
      </c>
      <c r="C72" s="26"/>
      <c r="D72" s="26">
        <v>10</v>
      </c>
      <c r="E72" s="26"/>
      <c r="F72" s="23">
        <f t="shared" si="16"/>
        <v>120</v>
      </c>
      <c r="G72" s="23"/>
      <c r="H72" s="4">
        <v>2.3549669999999998</v>
      </c>
      <c r="I72" s="23">
        <f t="shared" si="17"/>
        <v>11.774834999999999</v>
      </c>
      <c r="J72" s="23"/>
      <c r="K72" s="23"/>
      <c r="L72" s="23">
        <v>5</v>
      </c>
      <c r="M72" s="23"/>
      <c r="N72" s="5">
        <v>1</v>
      </c>
      <c r="O72" s="28">
        <f t="shared" si="15"/>
        <v>1.6168999999999993</v>
      </c>
      <c r="P72" s="28"/>
      <c r="Q72" s="28">
        <v>0.02</v>
      </c>
      <c r="R72" s="28"/>
      <c r="S72" s="23">
        <f t="shared" si="18"/>
        <v>2.4</v>
      </c>
      <c r="T72" s="23"/>
      <c r="U72" s="23" t="str">
        <f t="shared" si="19"/>
        <v>OK</v>
      </c>
      <c r="V72" s="23"/>
    </row>
    <row r="73" spans="2:22" x14ac:dyDescent="0.3">
      <c r="B73" s="26" t="s">
        <v>41</v>
      </c>
      <c r="C73" s="26"/>
      <c r="D73" s="26">
        <v>10</v>
      </c>
      <c r="E73" s="26"/>
      <c r="F73" s="23">
        <f t="shared" si="16"/>
        <v>120</v>
      </c>
      <c r="G73" s="23"/>
      <c r="H73" s="4">
        <v>2.031587</v>
      </c>
      <c r="I73" s="23">
        <f t="shared" si="17"/>
        <v>10.157935</v>
      </c>
      <c r="J73" s="23"/>
      <c r="K73" s="23"/>
      <c r="L73" s="23">
        <v>5</v>
      </c>
      <c r="M73" s="23"/>
      <c r="N73" s="5">
        <v>1</v>
      </c>
      <c r="O73" s="28">
        <f t="shared" si="15"/>
        <v>1.7159100000000009</v>
      </c>
      <c r="P73" s="28"/>
      <c r="Q73" s="28">
        <v>0.02</v>
      </c>
      <c r="R73" s="28"/>
      <c r="S73" s="23">
        <f t="shared" si="18"/>
        <v>2.4</v>
      </c>
      <c r="T73" s="23"/>
      <c r="U73" s="23" t="str">
        <f t="shared" si="19"/>
        <v>OK</v>
      </c>
      <c r="V73" s="23"/>
    </row>
    <row r="74" spans="2:22" x14ac:dyDescent="0.3">
      <c r="B74" s="26" t="s">
        <v>42</v>
      </c>
      <c r="C74" s="26"/>
      <c r="D74" s="26">
        <v>10</v>
      </c>
      <c r="E74" s="26"/>
      <c r="F74" s="23">
        <f t="shared" si="16"/>
        <v>120</v>
      </c>
      <c r="G74" s="23"/>
      <c r="H74" s="4">
        <v>1.6884049999999999</v>
      </c>
      <c r="I74" s="23">
        <f t="shared" si="17"/>
        <v>8.4420249999999992</v>
      </c>
      <c r="J74" s="23"/>
      <c r="K74" s="23"/>
      <c r="L74" s="23">
        <v>5</v>
      </c>
      <c r="M74" s="23"/>
      <c r="N74" s="5">
        <v>1</v>
      </c>
      <c r="O74" s="28">
        <f t="shared" si="15"/>
        <v>1.7697099999999999</v>
      </c>
      <c r="P74" s="28"/>
      <c r="Q74" s="28">
        <v>0.02</v>
      </c>
      <c r="R74" s="28"/>
      <c r="S74" s="23">
        <f t="shared" si="18"/>
        <v>2.4</v>
      </c>
      <c r="T74" s="23"/>
      <c r="U74" s="23" t="str">
        <f t="shared" si="19"/>
        <v>OK</v>
      </c>
      <c r="V74" s="23"/>
    </row>
    <row r="75" spans="2:22" x14ac:dyDescent="0.3">
      <c r="B75" s="26" t="s">
        <v>43</v>
      </c>
      <c r="C75" s="26"/>
      <c r="D75" s="26">
        <v>10</v>
      </c>
      <c r="E75" s="26"/>
      <c r="F75" s="23">
        <f t="shared" si="16"/>
        <v>120</v>
      </c>
      <c r="G75" s="23"/>
      <c r="H75" s="4">
        <v>1.334463</v>
      </c>
      <c r="I75" s="23">
        <f t="shared" si="17"/>
        <v>6.6723149999999993</v>
      </c>
      <c r="J75" s="23"/>
      <c r="K75" s="23"/>
      <c r="L75" s="23">
        <v>5</v>
      </c>
      <c r="M75" s="23"/>
      <c r="N75" s="5">
        <v>1</v>
      </c>
      <c r="O75" s="28">
        <f t="shared" si="15"/>
        <v>1.7626549999999988</v>
      </c>
      <c r="P75" s="28"/>
      <c r="Q75" s="28">
        <v>0.02</v>
      </c>
      <c r="R75" s="28"/>
      <c r="S75" s="23">
        <f t="shared" si="18"/>
        <v>2.4</v>
      </c>
      <c r="T75" s="23"/>
      <c r="U75" s="23" t="str">
        <f t="shared" si="19"/>
        <v>OK</v>
      </c>
      <c r="V75" s="23"/>
    </row>
    <row r="76" spans="2:22" x14ac:dyDescent="0.3">
      <c r="B76" s="26" t="s">
        <v>44</v>
      </c>
      <c r="C76" s="26"/>
      <c r="D76" s="26">
        <v>10</v>
      </c>
      <c r="E76" s="26"/>
      <c r="F76" s="23">
        <f t="shared" si="16"/>
        <v>120</v>
      </c>
      <c r="G76" s="23"/>
      <c r="H76" s="4">
        <v>0.98193200000000003</v>
      </c>
      <c r="I76" s="23">
        <f t="shared" si="17"/>
        <v>4.9096600000000006</v>
      </c>
      <c r="J76" s="23"/>
      <c r="K76" s="23"/>
      <c r="L76" s="23">
        <v>5</v>
      </c>
      <c r="M76" s="23"/>
      <c r="N76" s="5">
        <v>1</v>
      </c>
      <c r="O76" s="28">
        <f t="shared" si="15"/>
        <v>1.6798550000000008</v>
      </c>
      <c r="P76" s="28"/>
      <c r="Q76" s="28">
        <v>0.02</v>
      </c>
      <c r="R76" s="28"/>
      <c r="S76" s="23">
        <f t="shared" si="18"/>
        <v>2.4</v>
      </c>
      <c r="T76" s="23"/>
      <c r="U76" s="23" t="str">
        <f t="shared" si="19"/>
        <v>OK</v>
      </c>
      <c r="V76" s="23"/>
    </row>
    <row r="77" spans="2:22" x14ac:dyDescent="0.3">
      <c r="B77" s="26" t="s">
        <v>45</v>
      </c>
      <c r="C77" s="26"/>
      <c r="D77" s="26">
        <v>10</v>
      </c>
      <c r="E77" s="26"/>
      <c r="F77" s="23">
        <f t="shared" si="16"/>
        <v>120</v>
      </c>
      <c r="G77" s="23"/>
      <c r="H77" s="4">
        <v>0.64596100000000001</v>
      </c>
      <c r="I77" s="23">
        <f t="shared" si="17"/>
        <v>3.2298049999999998</v>
      </c>
      <c r="J77" s="23"/>
      <c r="K77" s="23"/>
      <c r="L77" s="23">
        <v>5</v>
      </c>
      <c r="M77" s="23"/>
      <c r="N77" s="5">
        <v>1</v>
      </c>
      <c r="O77" s="28">
        <f t="shared" si="15"/>
        <v>1.5050099999999997</v>
      </c>
      <c r="P77" s="28"/>
      <c r="Q77" s="28">
        <v>0.02</v>
      </c>
      <c r="R77" s="28"/>
      <c r="S77" s="23">
        <f t="shared" si="18"/>
        <v>2.4</v>
      </c>
      <c r="T77" s="23"/>
      <c r="U77" s="23" t="str">
        <f t="shared" si="19"/>
        <v>OK</v>
      </c>
      <c r="V77" s="23"/>
    </row>
    <row r="78" spans="2:22" x14ac:dyDescent="0.3">
      <c r="B78" s="26" t="s">
        <v>46</v>
      </c>
      <c r="C78" s="26"/>
      <c r="D78" s="26">
        <v>10</v>
      </c>
      <c r="E78" s="26"/>
      <c r="F78" s="23">
        <f t="shared" si="16"/>
        <v>120</v>
      </c>
      <c r="G78" s="23"/>
      <c r="H78" s="4">
        <v>0.34495900000000002</v>
      </c>
      <c r="I78" s="23">
        <f t="shared" si="17"/>
        <v>1.7247950000000001</v>
      </c>
      <c r="J78" s="23"/>
      <c r="K78" s="23"/>
      <c r="L78" s="23">
        <v>5</v>
      </c>
      <c r="M78" s="23"/>
      <c r="N78" s="5">
        <v>1</v>
      </c>
      <c r="O78" s="28">
        <f t="shared" si="15"/>
        <v>1.7247950000000001</v>
      </c>
      <c r="P78" s="28"/>
      <c r="Q78" s="28">
        <v>0.02</v>
      </c>
      <c r="R78" s="28"/>
      <c r="S78" s="23">
        <f t="shared" si="18"/>
        <v>2.4</v>
      </c>
      <c r="T78" s="23"/>
      <c r="U78" s="23" t="str">
        <f t="shared" si="19"/>
        <v>OK</v>
      </c>
      <c r="V78" s="23"/>
    </row>
    <row r="79" spans="2:22" x14ac:dyDescent="0.3">
      <c r="B79" s="26" t="s">
        <v>47</v>
      </c>
      <c r="C79" s="26"/>
      <c r="D79" s="26">
        <v>8</v>
      </c>
      <c r="E79" s="26"/>
      <c r="F79" s="23">
        <f t="shared" si="16"/>
        <v>96</v>
      </c>
      <c r="G79" s="23"/>
      <c r="H79" s="6">
        <v>0</v>
      </c>
      <c r="I79" s="23">
        <f t="shared" si="17"/>
        <v>0</v>
      </c>
      <c r="J79" s="23"/>
      <c r="K79" s="23"/>
      <c r="L79" s="23">
        <v>5</v>
      </c>
      <c r="M79" s="23"/>
      <c r="N79" s="5">
        <v>1</v>
      </c>
      <c r="O79" s="28">
        <f t="shared" si="15"/>
        <v>0</v>
      </c>
      <c r="P79" s="28"/>
      <c r="Q79" s="28">
        <v>0.02</v>
      </c>
      <c r="R79" s="28"/>
      <c r="S79" s="23">
        <f t="shared" si="18"/>
        <v>1.92</v>
      </c>
      <c r="T79" s="23"/>
      <c r="U79" s="23" t="str">
        <f t="shared" si="19"/>
        <v>OK</v>
      </c>
      <c r="V79" s="23"/>
    </row>
    <row r="80" spans="2:22" x14ac:dyDescent="0.3">
      <c r="B80" s="26" t="s">
        <v>48</v>
      </c>
      <c r="C80" s="26"/>
      <c r="D80" s="23">
        <v>0</v>
      </c>
      <c r="E80" s="23"/>
      <c r="F80" s="23">
        <f t="shared" si="16"/>
        <v>0</v>
      </c>
      <c r="G80" s="23"/>
      <c r="H80" s="6">
        <v>0</v>
      </c>
      <c r="I80" s="23">
        <f t="shared" si="17"/>
        <v>0</v>
      </c>
      <c r="J80" s="23"/>
      <c r="K80" s="23"/>
      <c r="L80" s="23">
        <v>5</v>
      </c>
      <c r="M80" s="23"/>
      <c r="N80" s="5">
        <v>1</v>
      </c>
      <c r="O80" s="28">
        <f t="shared" si="15"/>
        <v>0</v>
      </c>
      <c r="P80" s="28"/>
      <c r="Q80" s="28">
        <v>0.02</v>
      </c>
      <c r="R80" s="28"/>
      <c r="S80" s="23">
        <f t="shared" si="18"/>
        <v>0</v>
      </c>
      <c r="T80" s="23"/>
      <c r="U80" s="23" t="s">
        <v>51</v>
      </c>
      <c r="V80" s="23"/>
    </row>
    <row r="84" spans="2:24" x14ac:dyDescent="0.3">
      <c r="B84" s="30" t="s">
        <v>112</v>
      </c>
      <c r="C84" s="36"/>
      <c r="D84" s="36"/>
      <c r="E84" s="36"/>
      <c r="F84" s="36"/>
      <c r="G84" s="36"/>
      <c r="H84" s="37"/>
    </row>
    <row r="85" spans="2:24" x14ac:dyDescent="0.3">
      <c r="B85" s="38"/>
      <c r="C85" s="39"/>
      <c r="D85" s="39"/>
      <c r="E85" s="39"/>
      <c r="F85" s="39"/>
      <c r="G85" s="39"/>
      <c r="H85" s="40"/>
    </row>
    <row r="86" spans="2:24" x14ac:dyDescent="0.3">
      <c r="B86" s="41" t="s">
        <v>113</v>
      </c>
      <c r="C86" s="41"/>
      <c r="D86" s="41"/>
      <c r="E86" s="41"/>
      <c r="F86" s="1"/>
      <c r="G86" s="1"/>
      <c r="H86" s="1"/>
    </row>
    <row r="87" spans="2:24" ht="14.4" customHeight="1" x14ac:dyDescent="0.3">
      <c r="B87" s="20" t="s">
        <v>27</v>
      </c>
      <c r="C87" s="20"/>
      <c r="D87" s="20" t="s">
        <v>29</v>
      </c>
      <c r="E87" s="20"/>
      <c r="F87" s="20" t="s">
        <v>28</v>
      </c>
      <c r="G87" s="20"/>
      <c r="H87" s="27" t="s">
        <v>30</v>
      </c>
      <c r="I87" s="43" t="s">
        <v>101</v>
      </c>
      <c r="J87" s="44"/>
      <c r="K87" s="43" t="s">
        <v>35</v>
      </c>
      <c r="L87" s="44"/>
      <c r="M87" s="43" t="s">
        <v>114</v>
      </c>
      <c r="N87" s="44"/>
      <c r="O87" s="26" t="s">
        <v>21</v>
      </c>
      <c r="P87" s="26"/>
      <c r="Q87" s="42"/>
      <c r="R87" s="42"/>
      <c r="S87" s="42"/>
      <c r="T87" s="18"/>
      <c r="U87" s="18"/>
      <c r="V87" s="26" t="s">
        <v>115</v>
      </c>
      <c r="W87" s="26"/>
      <c r="X87" s="26"/>
    </row>
    <row r="88" spans="2:24" x14ac:dyDescent="0.3">
      <c r="B88" s="20"/>
      <c r="C88" s="20"/>
      <c r="D88" s="20"/>
      <c r="E88" s="20"/>
      <c r="F88" s="20"/>
      <c r="G88" s="20"/>
      <c r="H88" s="27"/>
      <c r="I88" s="45"/>
      <c r="J88" s="46"/>
      <c r="K88" s="45"/>
      <c r="L88" s="46"/>
      <c r="M88" s="45"/>
      <c r="N88" s="46"/>
      <c r="O88" s="26"/>
      <c r="P88" s="26"/>
      <c r="Q88" s="42"/>
      <c r="R88" s="42"/>
      <c r="S88" s="42"/>
      <c r="T88" s="18"/>
      <c r="U88" s="18"/>
      <c r="V88" s="26"/>
      <c r="W88" s="26"/>
      <c r="X88" s="26"/>
    </row>
    <row r="89" spans="2:24" x14ac:dyDescent="0.3">
      <c r="B89" s="20"/>
      <c r="C89" s="20"/>
      <c r="D89" s="20"/>
      <c r="E89" s="20"/>
      <c r="F89" s="20"/>
      <c r="G89" s="20"/>
      <c r="H89" s="27"/>
      <c r="I89" s="47"/>
      <c r="J89" s="48"/>
      <c r="K89" s="47"/>
      <c r="L89" s="48"/>
      <c r="M89" s="47"/>
      <c r="N89" s="48"/>
      <c r="O89" s="26"/>
      <c r="P89" s="26"/>
      <c r="Q89" s="42"/>
      <c r="R89" s="42"/>
      <c r="S89" s="18"/>
      <c r="T89" s="18"/>
      <c r="U89" s="18"/>
      <c r="V89" s="26" t="s">
        <v>116</v>
      </c>
      <c r="W89" s="26"/>
      <c r="X89" s="7">
        <v>4.5999999999999999E-2</v>
      </c>
    </row>
    <row r="90" spans="2:24" x14ac:dyDescent="0.3">
      <c r="B90" s="20" t="s">
        <v>36</v>
      </c>
      <c r="C90" s="20"/>
      <c r="D90" s="26">
        <v>10</v>
      </c>
      <c r="E90" s="26"/>
      <c r="F90" s="20">
        <f>D90*12</f>
        <v>120</v>
      </c>
      <c r="G90" s="20"/>
      <c r="H90" s="4">
        <v>0.95827499999999999</v>
      </c>
      <c r="I90" s="49">
        <f>ABS(H90-H91)</f>
        <v>4.2033999999999905E-2</v>
      </c>
      <c r="J90" s="50"/>
      <c r="K90" s="49" t="str">
        <f>X93</f>
        <v>0.004</v>
      </c>
      <c r="L90" s="50"/>
      <c r="M90" s="49">
        <f>K90*F90</f>
        <v>0.48</v>
      </c>
      <c r="N90" s="50"/>
      <c r="O90" s="23" t="str">
        <f>IF(M90&gt;I90,"OK","NOT OK")</f>
        <v>OK</v>
      </c>
      <c r="P90" s="23"/>
      <c r="Q90" s="42"/>
      <c r="R90" s="42"/>
      <c r="S90" s="3"/>
      <c r="T90" s="3"/>
      <c r="U90" s="3"/>
      <c r="V90" s="26" t="s">
        <v>117</v>
      </c>
      <c r="W90" s="26"/>
      <c r="X90" s="17">
        <v>0.9</v>
      </c>
    </row>
    <row r="91" spans="2:24" x14ac:dyDescent="0.3">
      <c r="B91" s="26" t="s">
        <v>37</v>
      </c>
      <c r="C91" s="26"/>
      <c r="D91" s="26">
        <v>10</v>
      </c>
      <c r="E91" s="26"/>
      <c r="F91" s="23">
        <f t="shared" ref="F91:F102" si="20">D91*12</f>
        <v>120</v>
      </c>
      <c r="G91" s="23"/>
      <c r="H91" s="4">
        <v>1.0003089999999999</v>
      </c>
      <c r="I91" s="49">
        <f t="shared" ref="I91:I102" si="21">ABS(H91-H92)</f>
        <v>5.9778999999999916E-2</v>
      </c>
      <c r="J91" s="50"/>
      <c r="K91" s="49" t="str">
        <f>X93</f>
        <v>0.004</v>
      </c>
      <c r="L91" s="50"/>
      <c r="M91" s="49">
        <f t="shared" ref="M91:M102" si="22">K91*F91</f>
        <v>0.48</v>
      </c>
      <c r="N91" s="50"/>
      <c r="O91" s="23" t="str">
        <f t="shared" ref="O91:O101" si="23">IF(M91&gt;I91,"OK","NOT OK")</f>
        <v>OK</v>
      </c>
      <c r="P91" s="23"/>
      <c r="Q91" s="42"/>
      <c r="R91" s="42"/>
      <c r="S91" s="3"/>
      <c r="T91" s="3"/>
      <c r="U91" s="3"/>
      <c r="V91" s="26" t="s">
        <v>118</v>
      </c>
      <c r="W91" s="26"/>
      <c r="X91" s="17">
        <f>SUM(D90:E102)/3.28</f>
        <v>35.975609756097562</v>
      </c>
    </row>
    <row r="92" spans="2:24" x14ac:dyDescent="0.3">
      <c r="B92" s="26" t="s">
        <v>38</v>
      </c>
      <c r="C92" s="26"/>
      <c r="D92" s="26">
        <v>10</v>
      </c>
      <c r="E92" s="26"/>
      <c r="F92" s="23">
        <f t="shared" si="20"/>
        <v>120</v>
      </c>
      <c r="G92" s="23"/>
      <c r="H92" s="4">
        <v>0.94052999999999998</v>
      </c>
      <c r="I92" s="49">
        <f t="shared" si="21"/>
        <v>7.0377000000000023E-2</v>
      </c>
      <c r="J92" s="50"/>
      <c r="K92" s="49" t="str">
        <f>X93</f>
        <v>0.004</v>
      </c>
      <c r="L92" s="50"/>
      <c r="M92" s="49">
        <f t="shared" si="22"/>
        <v>0.48</v>
      </c>
      <c r="N92" s="50"/>
      <c r="O92" s="23" t="str">
        <f t="shared" si="23"/>
        <v>OK</v>
      </c>
      <c r="P92" s="23"/>
      <c r="Q92" s="42"/>
      <c r="R92" s="42"/>
      <c r="S92" s="3"/>
      <c r="T92" s="3"/>
      <c r="U92" s="3"/>
      <c r="V92" s="26" t="s">
        <v>119</v>
      </c>
      <c r="W92" s="26"/>
      <c r="X92" s="17">
        <f>X89*(X91)^X90</f>
        <v>1.1565520398315128</v>
      </c>
    </row>
    <row r="93" spans="2:24" x14ac:dyDescent="0.3">
      <c r="B93" s="26" t="s">
        <v>39</v>
      </c>
      <c r="C93" s="26"/>
      <c r="D93" s="26">
        <v>10</v>
      </c>
      <c r="E93" s="26"/>
      <c r="F93" s="23">
        <f t="shared" si="20"/>
        <v>120</v>
      </c>
      <c r="G93" s="23"/>
      <c r="H93" s="4">
        <v>0.87015299999999995</v>
      </c>
      <c r="I93" s="49">
        <f t="shared" si="21"/>
        <v>8.1274999999999986E-2</v>
      </c>
      <c r="J93" s="50"/>
      <c r="K93" s="49" t="str">
        <f>X93</f>
        <v>0.004</v>
      </c>
      <c r="L93" s="50"/>
      <c r="M93" s="49">
        <f t="shared" si="22"/>
        <v>0.48</v>
      </c>
      <c r="N93" s="50"/>
      <c r="O93" s="23" t="str">
        <f t="shared" si="23"/>
        <v>OK</v>
      </c>
      <c r="P93" s="23"/>
      <c r="Q93" s="51"/>
      <c r="R93" s="51"/>
      <c r="S93" s="3"/>
      <c r="T93" s="3"/>
      <c r="U93" s="3"/>
      <c r="V93" s="28" t="s">
        <v>35</v>
      </c>
      <c r="W93" s="28"/>
      <c r="X93" s="17" t="str">
        <f>IF(X92&gt;=0.07,"0.004","0.005")</f>
        <v>0.004</v>
      </c>
    </row>
    <row r="94" spans="2:24" x14ac:dyDescent="0.3">
      <c r="B94" s="26" t="s">
        <v>40</v>
      </c>
      <c r="C94" s="26"/>
      <c r="D94" s="26">
        <v>10</v>
      </c>
      <c r="E94" s="26"/>
      <c r="F94" s="23">
        <f t="shared" si="20"/>
        <v>120</v>
      </c>
      <c r="G94" s="23"/>
      <c r="H94" s="4">
        <v>0.78887799999999997</v>
      </c>
      <c r="I94" s="49">
        <f t="shared" si="21"/>
        <v>9.3075999999999937E-2</v>
      </c>
      <c r="J94" s="50"/>
      <c r="K94" s="49" t="str">
        <f>X93</f>
        <v>0.004</v>
      </c>
      <c r="L94" s="50"/>
      <c r="M94" s="49">
        <f t="shared" si="22"/>
        <v>0.48</v>
      </c>
      <c r="N94" s="50"/>
      <c r="O94" s="23" t="str">
        <f t="shared" si="23"/>
        <v>OK</v>
      </c>
      <c r="P94" s="23"/>
      <c r="Q94" s="19"/>
      <c r="R94" s="19"/>
      <c r="S94" s="3"/>
      <c r="T94" s="3"/>
      <c r="U94" s="3"/>
      <c r="V94" s="3"/>
    </row>
    <row r="95" spans="2:24" x14ac:dyDescent="0.3">
      <c r="B95" s="26" t="s">
        <v>41</v>
      </c>
      <c r="C95" s="26"/>
      <c r="D95" s="26">
        <v>10</v>
      </c>
      <c r="E95" s="26"/>
      <c r="F95" s="23">
        <f t="shared" si="20"/>
        <v>120</v>
      </c>
      <c r="G95" s="23"/>
      <c r="H95" s="4">
        <v>0.69580200000000003</v>
      </c>
      <c r="I95" s="49">
        <f t="shared" si="21"/>
        <v>0.10424</v>
      </c>
      <c r="J95" s="50"/>
      <c r="K95" s="49" t="str">
        <f>X93</f>
        <v>0.004</v>
      </c>
      <c r="L95" s="50"/>
      <c r="M95" s="49">
        <f t="shared" si="22"/>
        <v>0.48</v>
      </c>
      <c r="N95" s="50"/>
      <c r="O95" s="23" t="str">
        <f t="shared" si="23"/>
        <v>OK</v>
      </c>
      <c r="P95" s="23"/>
      <c r="Q95" s="19"/>
      <c r="R95" s="19"/>
      <c r="S95" s="3"/>
      <c r="T95" s="3"/>
      <c r="U95" s="3"/>
      <c r="V95" s="3"/>
    </row>
    <row r="96" spans="2:24" x14ac:dyDescent="0.3">
      <c r="B96" s="26" t="s">
        <v>42</v>
      </c>
      <c r="C96" s="26"/>
      <c r="D96" s="26">
        <v>10</v>
      </c>
      <c r="E96" s="26"/>
      <c r="F96" s="23">
        <f t="shared" si="20"/>
        <v>120</v>
      </c>
      <c r="G96" s="23"/>
      <c r="H96" s="4">
        <v>0.59156200000000003</v>
      </c>
      <c r="I96" s="49">
        <f t="shared" si="21"/>
        <v>0.11370700000000006</v>
      </c>
      <c r="J96" s="50"/>
      <c r="K96" s="49" t="str">
        <f>X93</f>
        <v>0.004</v>
      </c>
      <c r="L96" s="50"/>
      <c r="M96" s="49">
        <f t="shared" si="22"/>
        <v>0.48</v>
      </c>
      <c r="N96" s="50"/>
      <c r="O96" s="23" t="str">
        <f t="shared" si="23"/>
        <v>OK</v>
      </c>
      <c r="P96" s="23"/>
      <c r="Q96" s="19"/>
      <c r="R96" s="19"/>
      <c r="S96" s="3"/>
      <c r="T96" s="3"/>
      <c r="U96" s="3"/>
      <c r="V96" s="3"/>
    </row>
    <row r="97" spans="2:22" x14ac:dyDescent="0.3">
      <c r="B97" s="26" t="s">
        <v>43</v>
      </c>
      <c r="C97" s="26"/>
      <c r="D97" s="26">
        <v>10</v>
      </c>
      <c r="E97" s="26"/>
      <c r="F97" s="23">
        <f t="shared" si="20"/>
        <v>120</v>
      </c>
      <c r="G97" s="23"/>
      <c r="H97" s="4">
        <v>0.47785499999999997</v>
      </c>
      <c r="I97" s="49">
        <f t="shared" si="21"/>
        <v>0.12006</v>
      </c>
      <c r="J97" s="50"/>
      <c r="K97" s="49" t="str">
        <f>X93</f>
        <v>0.004</v>
      </c>
      <c r="L97" s="50"/>
      <c r="M97" s="49">
        <f t="shared" si="22"/>
        <v>0.48</v>
      </c>
      <c r="N97" s="50"/>
      <c r="O97" s="23" t="str">
        <f t="shared" si="23"/>
        <v>OK</v>
      </c>
      <c r="P97" s="23"/>
      <c r="Q97" s="19"/>
      <c r="R97" s="19"/>
      <c r="S97" s="3"/>
      <c r="T97" s="3"/>
      <c r="U97" s="3"/>
      <c r="V97" s="3"/>
    </row>
    <row r="98" spans="2:22" x14ac:dyDescent="0.3">
      <c r="B98" s="26" t="s">
        <v>44</v>
      </c>
      <c r="C98" s="26"/>
      <c r="D98" s="26">
        <v>10</v>
      </c>
      <c r="E98" s="26"/>
      <c r="F98" s="23">
        <f t="shared" si="20"/>
        <v>120</v>
      </c>
      <c r="G98" s="23"/>
      <c r="H98" s="4">
        <v>0.35779499999999997</v>
      </c>
      <c r="I98" s="49">
        <f t="shared" si="21"/>
        <v>0.12036399999999997</v>
      </c>
      <c r="J98" s="50"/>
      <c r="K98" s="49" t="str">
        <f>X93</f>
        <v>0.004</v>
      </c>
      <c r="L98" s="50"/>
      <c r="M98" s="49">
        <f t="shared" si="22"/>
        <v>0.48</v>
      </c>
      <c r="N98" s="50"/>
      <c r="O98" s="23" t="str">
        <f t="shared" si="23"/>
        <v>OK</v>
      </c>
      <c r="P98" s="23"/>
      <c r="Q98" s="19"/>
      <c r="R98" s="19"/>
      <c r="S98" s="3"/>
      <c r="T98" s="3"/>
      <c r="U98" s="3"/>
      <c r="V98" s="3"/>
    </row>
    <row r="99" spans="2:22" x14ac:dyDescent="0.3">
      <c r="B99" s="26" t="s">
        <v>45</v>
      </c>
      <c r="C99" s="26"/>
      <c r="D99" s="26">
        <v>10</v>
      </c>
      <c r="E99" s="26"/>
      <c r="F99" s="23">
        <f t="shared" si="20"/>
        <v>120</v>
      </c>
      <c r="G99" s="23"/>
      <c r="H99" s="4">
        <v>0.237431</v>
      </c>
      <c r="I99" s="49">
        <f t="shared" si="21"/>
        <v>0.111482</v>
      </c>
      <c r="J99" s="50"/>
      <c r="K99" s="49" t="str">
        <f>X93</f>
        <v>0.004</v>
      </c>
      <c r="L99" s="50"/>
      <c r="M99" s="49">
        <f t="shared" si="22"/>
        <v>0.48</v>
      </c>
      <c r="N99" s="50"/>
      <c r="O99" s="23" t="str">
        <f t="shared" si="23"/>
        <v>OK</v>
      </c>
      <c r="P99" s="23"/>
      <c r="Q99" s="19"/>
      <c r="R99" s="19"/>
      <c r="S99" s="3"/>
      <c r="T99" s="3"/>
      <c r="U99" s="3"/>
      <c r="V99" s="3"/>
    </row>
    <row r="100" spans="2:22" x14ac:dyDescent="0.3">
      <c r="B100" s="26" t="s">
        <v>46</v>
      </c>
      <c r="C100" s="26"/>
      <c r="D100" s="26">
        <v>10</v>
      </c>
      <c r="E100" s="26"/>
      <c r="F100" s="23">
        <f t="shared" si="20"/>
        <v>120</v>
      </c>
      <c r="G100" s="23"/>
      <c r="H100" s="4">
        <v>0.12594900000000001</v>
      </c>
      <c r="I100" s="49">
        <f t="shared" si="21"/>
        <v>0.12594900000000001</v>
      </c>
      <c r="J100" s="50"/>
      <c r="K100" s="49" t="str">
        <f>X93</f>
        <v>0.004</v>
      </c>
      <c r="L100" s="50"/>
      <c r="M100" s="49">
        <f t="shared" si="22"/>
        <v>0.48</v>
      </c>
      <c r="N100" s="50"/>
      <c r="O100" s="23" t="str">
        <f t="shared" si="23"/>
        <v>OK</v>
      </c>
      <c r="P100" s="23"/>
      <c r="Q100" s="19"/>
      <c r="R100" s="19"/>
      <c r="S100" s="3"/>
      <c r="T100" s="3"/>
      <c r="U100" s="3"/>
      <c r="V100" s="3"/>
    </row>
    <row r="101" spans="2:22" x14ac:dyDescent="0.3">
      <c r="B101" s="26" t="s">
        <v>47</v>
      </c>
      <c r="C101" s="26"/>
      <c r="D101" s="26">
        <v>8</v>
      </c>
      <c r="E101" s="26"/>
      <c r="F101" s="23">
        <f t="shared" si="20"/>
        <v>96</v>
      </c>
      <c r="G101" s="23"/>
      <c r="H101" s="7">
        <v>0</v>
      </c>
      <c r="I101" s="49">
        <f t="shared" si="21"/>
        <v>0</v>
      </c>
      <c r="J101" s="50"/>
      <c r="K101" s="49" t="str">
        <f>X93</f>
        <v>0.004</v>
      </c>
      <c r="L101" s="50"/>
      <c r="M101" s="49">
        <f t="shared" si="22"/>
        <v>0.38400000000000001</v>
      </c>
      <c r="N101" s="50"/>
      <c r="O101" s="23" t="str">
        <f t="shared" si="23"/>
        <v>OK</v>
      </c>
      <c r="P101" s="23"/>
      <c r="Q101" s="19"/>
      <c r="R101" s="19"/>
      <c r="S101" s="3"/>
      <c r="T101" s="3"/>
      <c r="U101" s="3"/>
      <c r="V101" s="3"/>
    </row>
    <row r="102" spans="2:22" x14ac:dyDescent="0.3">
      <c r="B102" s="26" t="s">
        <v>48</v>
      </c>
      <c r="C102" s="26"/>
      <c r="D102" s="23">
        <v>0</v>
      </c>
      <c r="E102" s="23"/>
      <c r="F102" s="23">
        <f t="shared" si="20"/>
        <v>0</v>
      </c>
      <c r="G102" s="23"/>
      <c r="H102" s="7">
        <v>0</v>
      </c>
      <c r="I102" s="49">
        <f t="shared" si="21"/>
        <v>0</v>
      </c>
      <c r="J102" s="50"/>
      <c r="K102" s="49" t="str">
        <f>X93</f>
        <v>0.004</v>
      </c>
      <c r="L102" s="50"/>
      <c r="M102" s="49">
        <f t="shared" si="22"/>
        <v>0</v>
      </c>
      <c r="N102" s="50"/>
      <c r="O102" s="23" t="s">
        <v>51</v>
      </c>
      <c r="P102" s="23"/>
      <c r="Q102" s="19"/>
      <c r="R102" s="19"/>
      <c r="S102" s="3"/>
      <c r="T102" s="3"/>
      <c r="U102" s="3"/>
      <c r="V102" s="3"/>
    </row>
    <row r="105" spans="2:22" x14ac:dyDescent="0.3">
      <c r="B105" s="29" t="s">
        <v>120</v>
      </c>
      <c r="C105" s="29"/>
      <c r="D105" s="29"/>
      <c r="E105" s="29"/>
      <c r="F105" s="1"/>
      <c r="G105" s="1"/>
      <c r="H105" s="1"/>
    </row>
    <row r="106" spans="2:22" x14ac:dyDescent="0.3">
      <c r="B106" s="20" t="s">
        <v>27</v>
      </c>
      <c r="C106" s="20"/>
      <c r="D106" s="20" t="s">
        <v>29</v>
      </c>
      <c r="E106" s="20"/>
      <c r="F106" s="20" t="s">
        <v>28</v>
      </c>
      <c r="G106" s="20"/>
      <c r="H106" s="27" t="s">
        <v>30</v>
      </c>
      <c r="I106" s="43" t="s">
        <v>101</v>
      </c>
      <c r="J106" s="44"/>
      <c r="K106" s="43" t="s">
        <v>35</v>
      </c>
      <c r="L106" s="44"/>
      <c r="M106" s="43" t="s">
        <v>114</v>
      </c>
      <c r="N106" s="44"/>
      <c r="O106" s="26" t="s">
        <v>21</v>
      </c>
      <c r="P106" s="26"/>
    </row>
    <row r="107" spans="2:22" x14ac:dyDescent="0.3">
      <c r="B107" s="20"/>
      <c r="C107" s="20"/>
      <c r="D107" s="20"/>
      <c r="E107" s="20"/>
      <c r="F107" s="20"/>
      <c r="G107" s="20"/>
      <c r="H107" s="27"/>
      <c r="I107" s="45"/>
      <c r="J107" s="46"/>
      <c r="K107" s="45"/>
      <c r="L107" s="46"/>
      <c r="M107" s="45"/>
      <c r="N107" s="46"/>
      <c r="O107" s="26"/>
      <c r="P107" s="26"/>
    </row>
    <row r="108" spans="2:22" x14ac:dyDescent="0.3">
      <c r="B108" s="20"/>
      <c r="C108" s="20"/>
      <c r="D108" s="20"/>
      <c r="E108" s="20"/>
      <c r="F108" s="20"/>
      <c r="G108" s="20"/>
      <c r="H108" s="27"/>
      <c r="I108" s="47"/>
      <c r="J108" s="48"/>
      <c r="K108" s="47"/>
      <c r="L108" s="48"/>
      <c r="M108" s="47"/>
      <c r="N108" s="48"/>
      <c r="O108" s="26"/>
      <c r="P108" s="26"/>
    </row>
    <row r="109" spans="2:22" x14ac:dyDescent="0.3">
      <c r="B109" s="20" t="s">
        <v>36</v>
      </c>
      <c r="C109" s="20"/>
      <c r="D109" s="26">
        <v>10</v>
      </c>
      <c r="E109" s="26"/>
      <c r="F109" s="20">
        <f>D109*12</f>
        <v>120</v>
      </c>
      <c r="G109" s="20"/>
      <c r="H109" s="4">
        <v>2.1638009999999999</v>
      </c>
      <c r="I109" s="49">
        <f>ABS(H109-H110)</f>
        <v>0.25287099999999985</v>
      </c>
      <c r="J109" s="50"/>
      <c r="K109" s="49" t="str">
        <f>X93</f>
        <v>0.004</v>
      </c>
      <c r="L109" s="50"/>
      <c r="M109" s="49">
        <f>K109*F109</f>
        <v>0.48</v>
      </c>
      <c r="N109" s="50"/>
      <c r="O109" s="23" t="str">
        <f>IF(M109&gt;I109,"OK","NOT OK")</f>
        <v>OK</v>
      </c>
      <c r="P109" s="23"/>
    </row>
    <row r="110" spans="2:22" x14ac:dyDescent="0.3">
      <c r="B110" s="26" t="s">
        <v>37</v>
      </c>
      <c r="C110" s="26"/>
      <c r="D110" s="26">
        <v>10</v>
      </c>
      <c r="E110" s="26"/>
      <c r="F110" s="23">
        <f t="shared" ref="F110:F121" si="24">D110*12</f>
        <v>120</v>
      </c>
      <c r="G110" s="23"/>
      <c r="H110" s="4">
        <v>1.91093</v>
      </c>
      <c r="I110" s="49">
        <f t="shared" ref="I110:I121" si="25">ABS(H110-H111)</f>
        <v>0.14978500000000006</v>
      </c>
      <c r="J110" s="50"/>
      <c r="K110" s="49" t="str">
        <f>X93</f>
        <v>0.004</v>
      </c>
      <c r="L110" s="50"/>
      <c r="M110" s="49">
        <f t="shared" ref="M110:M121" si="26">K110*F110</f>
        <v>0.48</v>
      </c>
      <c r="N110" s="50"/>
      <c r="O110" s="23" t="str">
        <f t="shared" ref="O110:O120" si="27">IF(M110&gt;I110,"OK","NOT OK")</f>
        <v>OK</v>
      </c>
      <c r="P110" s="23"/>
    </row>
    <row r="111" spans="2:22" x14ac:dyDescent="0.3">
      <c r="B111" s="26" t="s">
        <v>38</v>
      </c>
      <c r="C111" s="26"/>
      <c r="D111" s="26">
        <v>10</v>
      </c>
      <c r="E111" s="26"/>
      <c r="F111" s="23">
        <f t="shared" si="24"/>
        <v>120</v>
      </c>
      <c r="G111" s="23"/>
      <c r="H111" s="4">
        <v>1.761145</v>
      </c>
      <c r="I111" s="49">
        <f t="shared" si="25"/>
        <v>0.16227199999999997</v>
      </c>
      <c r="J111" s="50"/>
      <c r="K111" s="49" t="str">
        <f>X93</f>
        <v>0.004</v>
      </c>
      <c r="L111" s="50"/>
      <c r="M111" s="49">
        <f t="shared" si="26"/>
        <v>0.48</v>
      </c>
      <c r="N111" s="50"/>
      <c r="O111" s="23" t="str">
        <f t="shared" si="27"/>
        <v>OK</v>
      </c>
      <c r="P111" s="23"/>
    </row>
    <row r="112" spans="2:22" x14ac:dyDescent="0.3">
      <c r="B112" s="26" t="s">
        <v>39</v>
      </c>
      <c r="C112" s="26"/>
      <c r="D112" s="26">
        <v>10</v>
      </c>
      <c r="E112" s="26"/>
      <c r="F112" s="23">
        <f t="shared" si="24"/>
        <v>120</v>
      </c>
      <c r="G112" s="23"/>
      <c r="H112" s="4">
        <v>1.598873</v>
      </c>
      <c r="I112" s="49">
        <f t="shared" si="25"/>
        <v>0.17490600000000001</v>
      </c>
      <c r="J112" s="50"/>
      <c r="K112" s="49" t="str">
        <f>X93</f>
        <v>0.004</v>
      </c>
      <c r="L112" s="50"/>
      <c r="M112" s="49">
        <f t="shared" si="26"/>
        <v>0.48</v>
      </c>
      <c r="N112" s="50"/>
      <c r="O112" s="23" t="str">
        <f t="shared" si="27"/>
        <v>OK</v>
      </c>
      <c r="P112" s="23"/>
    </row>
    <row r="113" spans="2:16" x14ac:dyDescent="0.3">
      <c r="B113" s="26" t="s">
        <v>40</v>
      </c>
      <c r="C113" s="26"/>
      <c r="D113" s="26">
        <v>10</v>
      </c>
      <c r="E113" s="26"/>
      <c r="F113" s="23">
        <f t="shared" si="24"/>
        <v>120</v>
      </c>
      <c r="G113" s="23"/>
      <c r="H113" s="4">
        <v>1.423967</v>
      </c>
      <c r="I113" s="49">
        <f t="shared" si="25"/>
        <v>0.18757399999999991</v>
      </c>
      <c r="J113" s="50"/>
      <c r="K113" s="49" t="str">
        <f>X93</f>
        <v>0.004</v>
      </c>
      <c r="L113" s="50"/>
      <c r="M113" s="49">
        <f t="shared" si="26"/>
        <v>0.48</v>
      </c>
      <c r="N113" s="50"/>
      <c r="O113" s="23" t="str">
        <f t="shared" si="27"/>
        <v>OK</v>
      </c>
      <c r="P113" s="23"/>
    </row>
    <row r="114" spans="2:16" x14ac:dyDescent="0.3">
      <c r="B114" s="26" t="s">
        <v>41</v>
      </c>
      <c r="C114" s="26"/>
      <c r="D114" s="26">
        <v>10</v>
      </c>
      <c r="E114" s="26"/>
      <c r="F114" s="23">
        <f t="shared" si="24"/>
        <v>120</v>
      </c>
      <c r="G114" s="23"/>
      <c r="H114" s="4">
        <v>1.2363930000000001</v>
      </c>
      <c r="I114" s="49">
        <f t="shared" si="25"/>
        <v>0.19869000000000003</v>
      </c>
      <c r="J114" s="50"/>
      <c r="K114" s="49" t="str">
        <f>X93</f>
        <v>0.004</v>
      </c>
      <c r="L114" s="50"/>
      <c r="M114" s="49">
        <f t="shared" si="26"/>
        <v>0.48</v>
      </c>
      <c r="N114" s="50"/>
      <c r="O114" s="23" t="str">
        <f t="shared" si="27"/>
        <v>OK</v>
      </c>
      <c r="P114" s="23"/>
    </row>
    <row r="115" spans="2:16" x14ac:dyDescent="0.3">
      <c r="B115" s="26" t="s">
        <v>42</v>
      </c>
      <c r="C115" s="26"/>
      <c r="D115" s="26">
        <v>10</v>
      </c>
      <c r="E115" s="26"/>
      <c r="F115" s="23">
        <f t="shared" si="24"/>
        <v>120</v>
      </c>
      <c r="G115" s="23"/>
      <c r="H115" s="4">
        <v>1.037703</v>
      </c>
      <c r="I115" s="49">
        <f t="shared" si="25"/>
        <v>0.20670100000000002</v>
      </c>
      <c r="J115" s="50"/>
      <c r="K115" s="49" t="str">
        <f>X93</f>
        <v>0.004</v>
      </c>
      <c r="L115" s="50"/>
      <c r="M115" s="49">
        <f t="shared" si="26"/>
        <v>0.48</v>
      </c>
      <c r="N115" s="50"/>
      <c r="O115" s="23" t="str">
        <f t="shared" si="27"/>
        <v>OK</v>
      </c>
      <c r="P115" s="23"/>
    </row>
    <row r="116" spans="2:16" x14ac:dyDescent="0.3">
      <c r="B116" s="26" t="s">
        <v>43</v>
      </c>
      <c r="C116" s="26"/>
      <c r="D116" s="26">
        <v>10</v>
      </c>
      <c r="E116" s="26"/>
      <c r="F116" s="23">
        <f t="shared" si="24"/>
        <v>120</v>
      </c>
      <c r="G116" s="23"/>
      <c r="H116" s="4">
        <v>0.83100200000000002</v>
      </c>
      <c r="I116" s="49">
        <f t="shared" si="25"/>
        <v>0.20978200000000002</v>
      </c>
      <c r="J116" s="50"/>
      <c r="K116" s="49" t="str">
        <f>X93</f>
        <v>0.004</v>
      </c>
      <c r="L116" s="50"/>
      <c r="M116" s="49">
        <f t="shared" si="26"/>
        <v>0.48</v>
      </c>
      <c r="N116" s="50"/>
      <c r="O116" s="23" t="str">
        <f t="shared" si="27"/>
        <v>OK</v>
      </c>
      <c r="P116" s="23"/>
    </row>
    <row r="117" spans="2:16" x14ac:dyDescent="0.3">
      <c r="B117" s="26" t="s">
        <v>44</v>
      </c>
      <c r="C117" s="26"/>
      <c r="D117" s="26">
        <v>10</v>
      </c>
      <c r="E117" s="26"/>
      <c r="F117" s="23">
        <f t="shared" si="24"/>
        <v>120</v>
      </c>
      <c r="G117" s="23"/>
      <c r="H117" s="4">
        <v>0.62121999999999999</v>
      </c>
      <c r="I117" s="49">
        <f t="shared" si="25"/>
        <v>0.204739</v>
      </c>
      <c r="J117" s="50"/>
      <c r="K117" s="49" t="str">
        <f>X93</f>
        <v>0.004</v>
      </c>
      <c r="L117" s="50"/>
      <c r="M117" s="49">
        <f t="shared" si="26"/>
        <v>0.48</v>
      </c>
      <c r="N117" s="50"/>
      <c r="O117" s="23" t="str">
        <f t="shared" si="27"/>
        <v>OK</v>
      </c>
      <c r="P117" s="23"/>
    </row>
    <row r="118" spans="2:16" x14ac:dyDescent="0.3">
      <c r="B118" s="26" t="s">
        <v>45</v>
      </c>
      <c r="C118" s="26"/>
      <c r="D118" s="26">
        <v>10</v>
      </c>
      <c r="E118" s="26"/>
      <c r="F118" s="23">
        <f t="shared" si="24"/>
        <v>120</v>
      </c>
      <c r="G118" s="23"/>
      <c r="H118" s="4">
        <v>0.41648099999999999</v>
      </c>
      <c r="I118" s="49">
        <f t="shared" si="25"/>
        <v>0.18950999999999998</v>
      </c>
      <c r="J118" s="50"/>
      <c r="K118" s="49" t="str">
        <f>X93</f>
        <v>0.004</v>
      </c>
      <c r="L118" s="50"/>
      <c r="M118" s="49">
        <f t="shared" si="26"/>
        <v>0.48</v>
      </c>
      <c r="N118" s="50"/>
      <c r="O118" s="23" t="str">
        <f t="shared" si="27"/>
        <v>OK</v>
      </c>
      <c r="P118" s="23"/>
    </row>
    <row r="119" spans="2:16" x14ac:dyDescent="0.3">
      <c r="B119" s="26" t="s">
        <v>46</v>
      </c>
      <c r="C119" s="26"/>
      <c r="D119" s="26">
        <v>10</v>
      </c>
      <c r="E119" s="26"/>
      <c r="F119" s="23">
        <f t="shared" si="24"/>
        <v>120</v>
      </c>
      <c r="G119" s="23"/>
      <c r="H119" s="4">
        <v>0.22697100000000001</v>
      </c>
      <c r="I119" s="49">
        <f t="shared" si="25"/>
        <v>0.22697100000000001</v>
      </c>
      <c r="J119" s="50"/>
      <c r="K119" s="49" t="str">
        <f>X93</f>
        <v>0.004</v>
      </c>
      <c r="L119" s="50"/>
      <c r="M119" s="49">
        <f t="shared" si="26"/>
        <v>0.48</v>
      </c>
      <c r="N119" s="50"/>
      <c r="O119" s="23" t="str">
        <f t="shared" si="27"/>
        <v>OK</v>
      </c>
      <c r="P119" s="23"/>
    </row>
    <row r="120" spans="2:16" x14ac:dyDescent="0.3">
      <c r="B120" s="26" t="s">
        <v>47</v>
      </c>
      <c r="C120" s="26"/>
      <c r="D120" s="26">
        <v>8</v>
      </c>
      <c r="E120" s="26"/>
      <c r="F120" s="23">
        <f t="shared" si="24"/>
        <v>96</v>
      </c>
      <c r="G120" s="23"/>
      <c r="H120" s="7">
        <v>0</v>
      </c>
      <c r="I120" s="49">
        <f t="shared" si="25"/>
        <v>0</v>
      </c>
      <c r="J120" s="50"/>
      <c r="K120" s="49" t="str">
        <f>X93</f>
        <v>0.004</v>
      </c>
      <c r="L120" s="50"/>
      <c r="M120" s="49">
        <f t="shared" si="26"/>
        <v>0.38400000000000001</v>
      </c>
      <c r="N120" s="50"/>
      <c r="O120" s="23" t="str">
        <f t="shared" si="27"/>
        <v>OK</v>
      </c>
      <c r="P120" s="23"/>
    </row>
    <row r="121" spans="2:16" x14ac:dyDescent="0.3">
      <c r="B121" s="26" t="s">
        <v>48</v>
      </c>
      <c r="C121" s="26"/>
      <c r="D121" s="23">
        <v>0</v>
      </c>
      <c r="E121" s="23"/>
      <c r="F121" s="23">
        <f t="shared" si="24"/>
        <v>0</v>
      </c>
      <c r="G121" s="23"/>
      <c r="H121" s="7">
        <v>0</v>
      </c>
      <c r="I121" s="49">
        <f t="shared" si="25"/>
        <v>0</v>
      </c>
      <c r="J121" s="50"/>
      <c r="K121" s="49" t="str">
        <f>X93</f>
        <v>0.004</v>
      </c>
      <c r="L121" s="50"/>
      <c r="M121" s="49">
        <f t="shared" si="26"/>
        <v>0</v>
      </c>
      <c r="N121" s="50"/>
      <c r="O121" s="23" t="s">
        <v>51</v>
      </c>
      <c r="P121" s="23"/>
    </row>
  </sheetData>
  <mergeCells count="731">
    <mergeCell ref="B121:C121"/>
    <mergeCell ref="D121:E121"/>
    <mergeCell ref="F121:G121"/>
    <mergeCell ref="I121:J121"/>
    <mergeCell ref="K121:L121"/>
    <mergeCell ref="M121:N121"/>
    <mergeCell ref="O121:P121"/>
    <mergeCell ref="B119:C119"/>
    <mergeCell ref="D119:E119"/>
    <mergeCell ref="F119:G119"/>
    <mergeCell ref="I119:J119"/>
    <mergeCell ref="K119:L119"/>
    <mergeCell ref="M119:N119"/>
    <mergeCell ref="O119:P119"/>
    <mergeCell ref="B120:C120"/>
    <mergeCell ref="D120:E120"/>
    <mergeCell ref="F120:G120"/>
    <mergeCell ref="I120:J120"/>
    <mergeCell ref="K120:L120"/>
    <mergeCell ref="M120:N120"/>
    <mergeCell ref="O120:P120"/>
    <mergeCell ref="B117:C117"/>
    <mergeCell ref="D117:E117"/>
    <mergeCell ref="F117:G117"/>
    <mergeCell ref="I117:J117"/>
    <mergeCell ref="K117:L117"/>
    <mergeCell ref="M117:N117"/>
    <mergeCell ref="O117:P117"/>
    <mergeCell ref="B118:C118"/>
    <mergeCell ref="D118:E118"/>
    <mergeCell ref="F118:G118"/>
    <mergeCell ref="I118:J118"/>
    <mergeCell ref="K118:L118"/>
    <mergeCell ref="M118:N118"/>
    <mergeCell ref="O118:P118"/>
    <mergeCell ref="B115:C115"/>
    <mergeCell ref="D115:E115"/>
    <mergeCell ref="F115:G115"/>
    <mergeCell ref="I115:J115"/>
    <mergeCell ref="K115:L115"/>
    <mergeCell ref="M115:N115"/>
    <mergeCell ref="O115:P115"/>
    <mergeCell ref="B116:C116"/>
    <mergeCell ref="D116:E116"/>
    <mergeCell ref="F116:G116"/>
    <mergeCell ref="I116:J116"/>
    <mergeCell ref="K116:L116"/>
    <mergeCell ref="M116:N116"/>
    <mergeCell ref="O116:P116"/>
    <mergeCell ref="B113:C113"/>
    <mergeCell ref="D113:E113"/>
    <mergeCell ref="F113:G113"/>
    <mergeCell ref="I113:J113"/>
    <mergeCell ref="K113:L113"/>
    <mergeCell ref="M113:N113"/>
    <mergeCell ref="O113:P113"/>
    <mergeCell ref="B114:C114"/>
    <mergeCell ref="D114:E114"/>
    <mergeCell ref="F114:G114"/>
    <mergeCell ref="I114:J114"/>
    <mergeCell ref="K114:L114"/>
    <mergeCell ref="M114:N114"/>
    <mergeCell ref="O114:P114"/>
    <mergeCell ref="B111:C111"/>
    <mergeCell ref="D111:E111"/>
    <mergeCell ref="F111:G111"/>
    <mergeCell ref="I111:J111"/>
    <mergeCell ref="K111:L111"/>
    <mergeCell ref="M111:N111"/>
    <mergeCell ref="O111:P111"/>
    <mergeCell ref="B112:C112"/>
    <mergeCell ref="D112:E112"/>
    <mergeCell ref="F112:G112"/>
    <mergeCell ref="I112:J112"/>
    <mergeCell ref="K112:L112"/>
    <mergeCell ref="M112:N112"/>
    <mergeCell ref="O112:P112"/>
    <mergeCell ref="B109:C109"/>
    <mergeCell ref="D109:E109"/>
    <mergeCell ref="F109:G109"/>
    <mergeCell ref="I109:J109"/>
    <mergeCell ref="K109:L109"/>
    <mergeCell ref="M109:N109"/>
    <mergeCell ref="O109:P109"/>
    <mergeCell ref="B110:C110"/>
    <mergeCell ref="D110:E110"/>
    <mergeCell ref="F110:G110"/>
    <mergeCell ref="I110:J110"/>
    <mergeCell ref="K110:L110"/>
    <mergeCell ref="M110:N110"/>
    <mergeCell ref="O110:P110"/>
    <mergeCell ref="V89:W89"/>
    <mergeCell ref="V90:W90"/>
    <mergeCell ref="V91:W91"/>
    <mergeCell ref="V92:W92"/>
    <mergeCell ref="V93:W93"/>
    <mergeCell ref="B105:E105"/>
    <mergeCell ref="B106:C108"/>
    <mergeCell ref="D106:E108"/>
    <mergeCell ref="F106:G108"/>
    <mergeCell ref="H106:H108"/>
    <mergeCell ref="I106:J108"/>
    <mergeCell ref="K106:L108"/>
    <mergeCell ref="M106:N108"/>
    <mergeCell ref="O106:P108"/>
    <mergeCell ref="B102:C102"/>
    <mergeCell ref="D102:E102"/>
    <mergeCell ref="F102:G102"/>
    <mergeCell ref="O102:P102"/>
    <mergeCell ref="I102:J102"/>
    <mergeCell ref="K102:L102"/>
    <mergeCell ref="M102:N102"/>
    <mergeCell ref="B101:C101"/>
    <mergeCell ref="D101:E101"/>
    <mergeCell ref="F101:G101"/>
    <mergeCell ref="O101:P101"/>
    <mergeCell ref="I101:J101"/>
    <mergeCell ref="K101:L101"/>
    <mergeCell ref="M101:N101"/>
    <mergeCell ref="B100:C100"/>
    <mergeCell ref="D100:E100"/>
    <mergeCell ref="F100:G100"/>
    <mergeCell ref="O100:P100"/>
    <mergeCell ref="I100:J100"/>
    <mergeCell ref="K100:L100"/>
    <mergeCell ref="M100:N100"/>
    <mergeCell ref="B99:C99"/>
    <mergeCell ref="D99:E99"/>
    <mergeCell ref="F99:G99"/>
    <mergeCell ref="O99:P99"/>
    <mergeCell ref="I99:J99"/>
    <mergeCell ref="K99:L99"/>
    <mergeCell ref="M99:N99"/>
    <mergeCell ref="B98:C98"/>
    <mergeCell ref="D98:E98"/>
    <mergeCell ref="F98:G98"/>
    <mergeCell ref="O98:P98"/>
    <mergeCell ref="I98:J98"/>
    <mergeCell ref="K98:L98"/>
    <mergeCell ref="M98:N98"/>
    <mergeCell ref="B97:C97"/>
    <mergeCell ref="D97:E97"/>
    <mergeCell ref="F97:G97"/>
    <mergeCell ref="O97:P97"/>
    <mergeCell ref="I97:J97"/>
    <mergeCell ref="K97:L97"/>
    <mergeCell ref="M97:N97"/>
    <mergeCell ref="B96:C96"/>
    <mergeCell ref="D96:E96"/>
    <mergeCell ref="F96:G96"/>
    <mergeCell ref="O96:P96"/>
    <mergeCell ref="I96:J96"/>
    <mergeCell ref="K96:L96"/>
    <mergeCell ref="M96:N96"/>
    <mergeCell ref="B95:C95"/>
    <mergeCell ref="D95:E95"/>
    <mergeCell ref="F95:G95"/>
    <mergeCell ref="O95:P95"/>
    <mergeCell ref="I95:J95"/>
    <mergeCell ref="K95:L95"/>
    <mergeCell ref="M95:N95"/>
    <mergeCell ref="B94:C94"/>
    <mergeCell ref="D94:E94"/>
    <mergeCell ref="F94:G94"/>
    <mergeCell ref="O94:P94"/>
    <mergeCell ref="I94:J94"/>
    <mergeCell ref="K94:L94"/>
    <mergeCell ref="M94:N94"/>
    <mergeCell ref="B93:C93"/>
    <mergeCell ref="D93:E93"/>
    <mergeCell ref="F93:G93"/>
    <mergeCell ref="O93:P93"/>
    <mergeCell ref="Q93:R93"/>
    <mergeCell ref="I93:J93"/>
    <mergeCell ref="K93:L93"/>
    <mergeCell ref="M93:N93"/>
    <mergeCell ref="B92:C92"/>
    <mergeCell ref="D92:E92"/>
    <mergeCell ref="F92:G92"/>
    <mergeCell ref="O92:P92"/>
    <mergeCell ref="Q92:R92"/>
    <mergeCell ref="I92:J92"/>
    <mergeCell ref="K92:L92"/>
    <mergeCell ref="M92:N92"/>
    <mergeCell ref="B91:C91"/>
    <mergeCell ref="D91:E91"/>
    <mergeCell ref="F91:G91"/>
    <mergeCell ref="O91:P91"/>
    <mergeCell ref="Q91:R91"/>
    <mergeCell ref="I91:J91"/>
    <mergeCell ref="K91:L91"/>
    <mergeCell ref="M91:N91"/>
    <mergeCell ref="B90:C90"/>
    <mergeCell ref="D90:E90"/>
    <mergeCell ref="F90:G90"/>
    <mergeCell ref="O90:P90"/>
    <mergeCell ref="Q90:R90"/>
    <mergeCell ref="I90:J90"/>
    <mergeCell ref="K90:L90"/>
    <mergeCell ref="M90:N90"/>
    <mergeCell ref="Q89:R89"/>
    <mergeCell ref="B87:C89"/>
    <mergeCell ref="D87:E89"/>
    <mergeCell ref="F87:G89"/>
    <mergeCell ref="H87:H89"/>
    <mergeCell ref="O87:P89"/>
    <mergeCell ref="I87:J89"/>
    <mergeCell ref="K87:L89"/>
    <mergeCell ref="M87:N89"/>
    <mergeCell ref="B84:H85"/>
    <mergeCell ref="B86:E86"/>
    <mergeCell ref="Q87:S88"/>
    <mergeCell ref="V87:X88"/>
    <mergeCell ref="S42:T42"/>
    <mergeCell ref="U42:V42"/>
    <mergeCell ref="B42:C42"/>
    <mergeCell ref="D42:E42"/>
    <mergeCell ref="F42:G42"/>
    <mergeCell ref="I42:K42"/>
    <mergeCell ref="O42:P42"/>
    <mergeCell ref="L42:M42"/>
    <mergeCell ref="Q42:R42"/>
    <mergeCell ref="B45:E45"/>
    <mergeCell ref="B46:C48"/>
    <mergeCell ref="D46:E48"/>
    <mergeCell ref="F46:G48"/>
    <mergeCell ref="H46:H48"/>
    <mergeCell ref="I46:K48"/>
    <mergeCell ref="L46:M48"/>
    <mergeCell ref="N46:N48"/>
    <mergeCell ref="O46:P48"/>
    <mergeCell ref="Q46:R48"/>
    <mergeCell ref="S46:T48"/>
    <mergeCell ref="S40:T40"/>
    <mergeCell ref="U40:V40"/>
    <mergeCell ref="B41:C41"/>
    <mergeCell ref="D41:E41"/>
    <mergeCell ref="F41:G41"/>
    <mergeCell ref="I41:K41"/>
    <mergeCell ref="O41:P41"/>
    <mergeCell ref="S41:T41"/>
    <mergeCell ref="U41:V41"/>
    <mergeCell ref="B40:C40"/>
    <mergeCell ref="D40:E40"/>
    <mergeCell ref="F40:G40"/>
    <mergeCell ref="I40:K40"/>
    <mergeCell ref="O40:P40"/>
    <mergeCell ref="L40:M40"/>
    <mergeCell ref="Q40:R40"/>
    <mergeCell ref="L41:M41"/>
    <mergeCell ref="Q41:R41"/>
    <mergeCell ref="S38:T38"/>
    <mergeCell ref="U38:V38"/>
    <mergeCell ref="B39:C39"/>
    <mergeCell ref="D39:E39"/>
    <mergeCell ref="F39:G39"/>
    <mergeCell ref="I39:K39"/>
    <mergeCell ref="O39:P39"/>
    <mergeCell ref="S39:T39"/>
    <mergeCell ref="U39:V39"/>
    <mergeCell ref="B38:C38"/>
    <mergeCell ref="D38:E38"/>
    <mergeCell ref="F38:G38"/>
    <mergeCell ref="I38:K38"/>
    <mergeCell ref="O38:P38"/>
    <mergeCell ref="L38:M38"/>
    <mergeCell ref="Q38:R38"/>
    <mergeCell ref="L39:M39"/>
    <mergeCell ref="Q39:R39"/>
    <mergeCell ref="S36:T36"/>
    <mergeCell ref="U36:V36"/>
    <mergeCell ref="B37:C37"/>
    <mergeCell ref="D37:E37"/>
    <mergeCell ref="F37:G37"/>
    <mergeCell ref="I37:K37"/>
    <mergeCell ref="O37:P37"/>
    <mergeCell ref="S37:T37"/>
    <mergeCell ref="U37:V37"/>
    <mergeCell ref="B36:C36"/>
    <mergeCell ref="D36:E36"/>
    <mergeCell ref="F36:G36"/>
    <mergeCell ref="I36:K36"/>
    <mergeCell ref="O36:P36"/>
    <mergeCell ref="L36:M36"/>
    <mergeCell ref="Q36:R36"/>
    <mergeCell ref="L37:M37"/>
    <mergeCell ref="Q37:R37"/>
    <mergeCell ref="S34:T34"/>
    <mergeCell ref="U34:V34"/>
    <mergeCell ref="B35:C35"/>
    <mergeCell ref="D35:E35"/>
    <mergeCell ref="F35:G35"/>
    <mergeCell ref="I35:K35"/>
    <mergeCell ref="O35:P35"/>
    <mergeCell ref="S35:T35"/>
    <mergeCell ref="U35:V35"/>
    <mergeCell ref="B34:C34"/>
    <mergeCell ref="D34:E34"/>
    <mergeCell ref="F34:G34"/>
    <mergeCell ref="I34:K34"/>
    <mergeCell ref="O34:P34"/>
    <mergeCell ref="L34:M34"/>
    <mergeCell ref="Q34:R34"/>
    <mergeCell ref="L35:M35"/>
    <mergeCell ref="Q35:R35"/>
    <mergeCell ref="U32:V32"/>
    <mergeCell ref="B33:C33"/>
    <mergeCell ref="D33:E33"/>
    <mergeCell ref="F33:G33"/>
    <mergeCell ref="I33:K33"/>
    <mergeCell ref="O33:P33"/>
    <mergeCell ref="S33:T33"/>
    <mergeCell ref="U33:V33"/>
    <mergeCell ref="B32:C32"/>
    <mergeCell ref="D32:E32"/>
    <mergeCell ref="F32:G32"/>
    <mergeCell ref="I32:K32"/>
    <mergeCell ref="O32:P32"/>
    <mergeCell ref="L32:M32"/>
    <mergeCell ref="Q32:R32"/>
    <mergeCell ref="L33:M33"/>
    <mergeCell ref="Q33:R33"/>
    <mergeCell ref="U30:V30"/>
    <mergeCell ref="B31:C31"/>
    <mergeCell ref="D31:E31"/>
    <mergeCell ref="F31:G31"/>
    <mergeCell ref="I31:K31"/>
    <mergeCell ref="O31:P31"/>
    <mergeCell ref="S31:T31"/>
    <mergeCell ref="U31:V31"/>
    <mergeCell ref="B30:C30"/>
    <mergeCell ref="D30:E30"/>
    <mergeCell ref="F30:G30"/>
    <mergeCell ref="I30:K30"/>
    <mergeCell ref="O30:P30"/>
    <mergeCell ref="L31:M31"/>
    <mergeCell ref="Q31:R31"/>
    <mergeCell ref="L30:M30"/>
    <mergeCell ref="Q30:R30"/>
    <mergeCell ref="U27:V29"/>
    <mergeCell ref="N27:N29"/>
    <mergeCell ref="Q27:R29"/>
    <mergeCell ref="L27:M29"/>
    <mergeCell ref="B23:C23"/>
    <mergeCell ref="I23:K23"/>
    <mergeCell ref="O22:P22"/>
    <mergeCell ref="O23:P23"/>
    <mergeCell ref="S22:T22"/>
    <mergeCell ref="S23:T23"/>
    <mergeCell ref="D23:E23"/>
    <mergeCell ref="Q22:R22"/>
    <mergeCell ref="Q23:R23"/>
    <mergeCell ref="L22:M22"/>
    <mergeCell ref="L23:M23"/>
    <mergeCell ref="U14:V14"/>
    <mergeCell ref="U15:V15"/>
    <mergeCell ref="U16:V16"/>
    <mergeCell ref="B11:C11"/>
    <mergeCell ref="B12:C12"/>
    <mergeCell ref="B13:C13"/>
    <mergeCell ref="B14:C14"/>
    <mergeCell ref="B15:C15"/>
    <mergeCell ref="D11:E11"/>
    <mergeCell ref="D12:E12"/>
    <mergeCell ref="D13:E13"/>
    <mergeCell ref="F11:G11"/>
    <mergeCell ref="F12:G12"/>
    <mergeCell ref="F13:G13"/>
    <mergeCell ref="I11:K11"/>
    <mergeCell ref="I12:K12"/>
    <mergeCell ref="I13:K13"/>
    <mergeCell ref="I16:K16"/>
    <mergeCell ref="O13:P13"/>
    <mergeCell ref="O14:P14"/>
    <mergeCell ref="O15:P15"/>
    <mergeCell ref="S14:T14"/>
    <mergeCell ref="S15:T15"/>
    <mergeCell ref="Q14:R14"/>
    <mergeCell ref="B3:H4"/>
    <mergeCell ref="B5:H6"/>
    <mergeCell ref="F23:G23"/>
    <mergeCell ref="F17:G17"/>
    <mergeCell ref="F18:G18"/>
    <mergeCell ref="F19:G19"/>
    <mergeCell ref="F20:G20"/>
    <mergeCell ref="F21:G21"/>
    <mergeCell ref="F22:G22"/>
    <mergeCell ref="B7:E7"/>
    <mergeCell ref="H8:H10"/>
    <mergeCell ref="B8:C10"/>
    <mergeCell ref="B16:C16"/>
    <mergeCell ref="B20:C20"/>
    <mergeCell ref="B21:C21"/>
    <mergeCell ref="B22:C22"/>
    <mergeCell ref="D20:E20"/>
    <mergeCell ref="D21:E21"/>
    <mergeCell ref="D22:E22"/>
    <mergeCell ref="B17:C17"/>
    <mergeCell ref="B18:C18"/>
    <mergeCell ref="B19:C19"/>
    <mergeCell ref="D8:E10"/>
    <mergeCell ref="F8:G10"/>
    <mergeCell ref="U17:V17"/>
    <mergeCell ref="U18:V18"/>
    <mergeCell ref="U19:V19"/>
    <mergeCell ref="U20:V20"/>
    <mergeCell ref="U21:V21"/>
    <mergeCell ref="U22:V22"/>
    <mergeCell ref="U23:V23"/>
    <mergeCell ref="D14:E14"/>
    <mergeCell ref="D15:E15"/>
    <mergeCell ref="D16:E16"/>
    <mergeCell ref="D17:E17"/>
    <mergeCell ref="D18:E18"/>
    <mergeCell ref="D19:E19"/>
    <mergeCell ref="F14:G14"/>
    <mergeCell ref="F15:G15"/>
    <mergeCell ref="F16:G16"/>
    <mergeCell ref="I17:K17"/>
    <mergeCell ref="I18:K18"/>
    <mergeCell ref="I19:K19"/>
    <mergeCell ref="I20:K20"/>
    <mergeCell ref="I21:K21"/>
    <mergeCell ref="I22:K22"/>
    <mergeCell ref="I14:K14"/>
    <mergeCell ref="I15:K15"/>
    <mergeCell ref="I8:K10"/>
    <mergeCell ref="O8:P10"/>
    <mergeCell ref="S8:T10"/>
    <mergeCell ref="U8:V10"/>
    <mergeCell ref="O11:P11"/>
    <mergeCell ref="O12:P12"/>
    <mergeCell ref="S11:T11"/>
    <mergeCell ref="S12:T12"/>
    <mergeCell ref="S13:T13"/>
    <mergeCell ref="U11:V11"/>
    <mergeCell ref="U12:V12"/>
    <mergeCell ref="U13:V13"/>
    <mergeCell ref="N8:N10"/>
    <mergeCell ref="L8:M10"/>
    <mergeCell ref="Q8:R10"/>
    <mergeCell ref="Q11:R11"/>
    <mergeCell ref="Q12:R12"/>
    <mergeCell ref="Q13:R13"/>
    <mergeCell ref="S16:T16"/>
    <mergeCell ref="S17:T17"/>
    <mergeCell ref="S18:T18"/>
    <mergeCell ref="O16:P16"/>
    <mergeCell ref="O17:P17"/>
    <mergeCell ref="O18:P18"/>
    <mergeCell ref="L16:M16"/>
    <mergeCell ref="L17:M17"/>
    <mergeCell ref="L18:M18"/>
    <mergeCell ref="Q16:R16"/>
    <mergeCell ref="Q17:R17"/>
    <mergeCell ref="Q18:R18"/>
    <mergeCell ref="Q15:R15"/>
    <mergeCell ref="L11:M11"/>
    <mergeCell ref="L12:M12"/>
    <mergeCell ref="L13:M13"/>
    <mergeCell ref="L14:M14"/>
    <mergeCell ref="L15:M15"/>
    <mergeCell ref="L19:M19"/>
    <mergeCell ref="L20:M20"/>
    <mergeCell ref="L21:M21"/>
    <mergeCell ref="O19:P19"/>
    <mergeCell ref="O20:P20"/>
    <mergeCell ref="O21:P21"/>
    <mergeCell ref="U46:V48"/>
    <mergeCell ref="B49:C49"/>
    <mergeCell ref="D49:E49"/>
    <mergeCell ref="F49:G49"/>
    <mergeCell ref="I49:K49"/>
    <mergeCell ref="L49:M49"/>
    <mergeCell ref="O49:P49"/>
    <mergeCell ref="Q49:R49"/>
    <mergeCell ref="S49:T49"/>
    <mergeCell ref="U49:V49"/>
    <mergeCell ref="S19:T19"/>
    <mergeCell ref="S20:T20"/>
    <mergeCell ref="S21:T21"/>
    <mergeCell ref="B26:E26"/>
    <mergeCell ref="B27:C29"/>
    <mergeCell ref="B50:C50"/>
    <mergeCell ref="D50:E50"/>
    <mergeCell ref="F50:G50"/>
    <mergeCell ref="I50:K50"/>
    <mergeCell ref="L50:M50"/>
    <mergeCell ref="O50:P50"/>
    <mergeCell ref="Q50:R50"/>
    <mergeCell ref="S50:T50"/>
    <mergeCell ref="Q19:R19"/>
    <mergeCell ref="Q20:R20"/>
    <mergeCell ref="Q21:R21"/>
    <mergeCell ref="D27:E29"/>
    <mergeCell ref="F27:G29"/>
    <mergeCell ref="H27:H29"/>
    <mergeCell ref="I27:K29"/>
    <mergeCell ref="O27:P29"/>
    <mergeCell ref="S27:T29"/>
    <mergeCell ref="S30:T30"/>
    <mergeCell ref="S32:T32"/>
    <mergeCell ref="U50:V50"/>
    <mergeCell ref="B51:C51"/>
    <mergeCell ref="D51:E51"/>
    <mergeCell ref="F51:G51"/>
    <mergeCell ref="I51:K51"/>
    <mergeCell ref="L51:M51"/>
    <mergeCell ref="O51:P51"/>
    <mergeCell ref="Q51:R51"/>
    <mergeCell ref="S51:T51"/>
    <mergeCell ref="U51:V51"/>
    <mergeCell ref="B52:C52"/>
    <mergeCell ref="D52:E52"/>
    <mergeCell ref="F52:G52"/>
    <mergeCell ref="I52:K52"/>
    <mergeCell ref="L52:M52"/>
    <mergeCell ref="O52:P52"/>
    <mergeCell ref="Q52:R52"/>
    <mergeCell ref="S52:T52"/>
    <mergeCell ref="U52:V52"/>
    <mergeCell ref="B53:C53"/>
    <mergeCell ref="D53:E53"/>
    <mergeCell ref="F53:G53"/>
    <mergeCell ref="I53:K53"/>
    <mergeCell ref="L53:M53"/>
    <mergeCell ref="O53:P53"/>
    <mergeCell ref="Q53:R53"/>
    <mergeCell ref="S53:T53"/>
    <mergeCell ref="U53:V53"/>
    <mergeCell ref="B54:C54"/>
    <mergeCell ref="D54:E54"/>
    <mergeCell ref="F54:G54"/>
    <mergeCell ref="I54:K54"/>
    <mergeCell ref="L54:M54"/>
    <mergeCell ref="O54:P54"/>
    <mergeCell ref="Q54:R54"/>
    <mergeCell ref="S54:T54"/>
    <mergeCell ref="U54:V54"/>
    <mergeCell ref="B55:C55"/>
    <mergeCell ref="D55:E55"/>
    <mergeCell ref="F55:G55"/>
    <mergeCell ref="I55:K55"/>
    <mergeCell ref="L55:M55"/>
    <mergeCell ref="O55:P55"/>
    <mergeCell ref="Q55:R55"/>
    <mergeCell ref="S55:T55"/>
    <mergeCell ref="U55:V55"/>
    <mergeCell ref="B56:C56"/>
    <mergeCell ref="D56:E56"/>
    <mergeCell ref="F56:G56"/>
    <mergeCell ref="I56:K56"/>
    <mergeCell ref="L56:M56"/>
    <mergeCell ref="O56:P56"/>
    <mergeCell ref="Q56:R56"/>
    <mergeCell ref="S56:T56"/>
    <mergeCell ref="U56:V56"/>
    <mergeCell ref="B57:C57"/>
    <mergeCell ref="D57:E57"/>
    <mergeCell ref="F57:G57"/>
    <mergeCell ref="I57:K57"/>
    <mergeCell ref="L57:M57"/>
    <mergeCell ref="O57:P57"/>
    <mergeCell ref="Q57:R57"/>
    <mergeCell ref="S57:T57"/>
    <mergeCell ref="U57:V57"/>
    <mergeCell ref="B58:C58"/>
    <mergeCell ref="D58:E58"/>
    <mergeCell ref="F58:G58"/>
    <mergeCell ref="I58:K58"/>
    <mergeCell ref="L58:M58"/>
    <mergeCell ref="O58:P58"/>
    <mergeCell ref="Q58:R58"/>
    <mergeCell ref="S58:T58"/>
    <mergeCell ref="U58:V58"/>
    <mergeCell ref="B59:C59"/>
    <mergeCell ref="D59:E59"/>
    <mergeCell ref="F59:G59"/>
    <mergeCell ref="I59:K59"/>
    <mergeCell ref="L59:M59"/>
    <mergeCell ref="O59:P59"/>
    <mergeCell ref="Q59:R59"/>
    <mergeCell ref="S59:T59"/>
    <mergeCell ref="U59:V59"/>
    <mergeCell ref="B60:C60"/>
    <mergeCell ref="D60:E60"/>
    <mergeCell ref="F60:G60"/>
    <mergeCell ref="I60:K60"/>
    <mergeCell ref="L60:M60"/>
    <mergeCell ref="O60:P60"/>
    <mergeCell ref="Q60:R60"/>
    <mergeCell ref="S60:T60"/>
    <mergeCell ref="U60:V60"/>
    <mergeCell ref="B61:C61"/>
    <mergeCell ref="D61:E61"/>
    <mergeCell ref="F61:G61"/>
    <mergeCell ref="I61:K61"/>
    <mergeCell ref="L61:M61"/>
    <mergeCell ref="O61:P61"/>
    <mergeCell ref="Q61:R61"/>
    <mergeCell ref="S61:T61"/>
    <mergeCell ref="U61:V61"/>
    <mergeCell ref="B64:E64"/>
    <mergeCell ref="B65:C67"/>
    <mergeCell ref="D65:E67"/>
    <mergeCell ref="F65:G67"/>
    <mergeCell ref="H65:H67"/>
    <mergeCell ref="I65:K67"/>
    <mergeCell ref="L65:M67"/>
    <mergeCell ref="N65:N67"/>
    <mergeCell ref="O65:P67"/>
    <mergeCell ref="Q65:R67"/>
    <mergeCell ref="S65:T67"/>
    <mergeCell ref="U65:V67"/>
    <mergeCell ref="B68:C68"/>
    <mergeCell ref="D68:E68"/>
    <mergeCell ref="F68:G68"/>
    <mergeCell ref="I68:K68"/>
    <mergeCell ref="L68:M68"/>
    <mergeCell ref="O68:P68"/>
    <mergeCell ref="Q68:R68"/>
    <mergeCell ref="S68:T68"/>
    <mergeCell ref="U68:V68"/>
    <mergeCell ref="B69:C69"/>
    <mergeCell ref="D69:E69"/>
    <mergeCell ref="F69:G69"/>
    <mergeCell ref="I69:K69"/>
    <mergeCell ref="L69:M69"/>
    <mergeCell ref="O69:P69"/>
    <mergeCell ref="Q69:R69"/>
    <mergeCell ref="S69:T69"/>
    <mergeCell ref="U69:V69"/>
    <mergeCell ref="B70:C70"/>
    <mergeCell ref="D70:E70"/>
    <mergeCell ref="F70:G70"/>
    <mergeCell ref="I70:K70"/>
    <mergeCell ref="L70:M70"/>
    <mergeCell ref="O70:P70"/>
    <mergeCell ref="Q70:R70"/>
    <mergeCell ref="S70:T70"/>
    <mergeCell ref="U70:V70"/>
    <mergeCell ref="B71:C71"/>
    <mergeCell ref="D71:E71"/>
    <mergeCell ref="F71:G71"/>
    <mergeCell ref="I71:K71"/>
    <mergeCell ref="L71:M71"/>
    <mergeCell ref="O71:P71"/>
    <mergeCell ref="Q71:R71"/>
    <mergeCell ref="S71:T71"/>
    <mergeCell ref="U71:V71"/>
    <mergeCell ref="B72:C72"/>
    <mergeCell ref="D72:E72"/>
    <mergeCell ref="F72:G72"/>
    <mergeCell ref="I72:K72"/>
    <mergeCell ref="L72:M72"/>
    <mergeCell ref="O72:P72"/>
    <mergeCell ref="Q72:R72"/>
    <mergeCell ref="S72:T72"/>
    <mergeCell ref="U72:V72"/>
    <mergeCell ref="B73:C73"/>
    <mergeCell ref="D73:E73"/>
    <mergeCell ref="F73:G73"/>
    <mergeCell ref="I73:K73"/>
    <mergeCell ref="L73:M73"/>
    <mergeCell ref="O73:P73"/>
    <mergeCell ref="Q73:R73"/>
    <mergeCell ref="S73:T73"/>
    <mergeCell ref="U73:V73"/>
    <mergeCell ref="B74:C74"/>
    <mergeCell ref="D74:E74"/>
    <mergeCell ref="F74:G74"/>
    <mergeCell ref="I74:K74"/>
    <mergeCell ref="L74:M74"/>
    <mergeCell ref="O74:P74"/>
    <mergeCell ref="Q74:R74"/>
    <mergeCell ref="S74:T74"/>
    <mergeCell ref="U74:V74"/>
    <mergeCell ref="B75:C75"/>
    <mergeCell ref="D75:E75"/>
    <mergeCell ref="F75:G75"/>
    <mergeCell ref="I75:K75"/>
    <mergeCell ref="L75:M75"/>
    <mergeCell ref="O75:P75"/>
    <mergeCell ref="Q75:R75"/>
    <mergeCell ref="S75:T75"/>
    <mergeCell ref="U75:V75"/>
    <mergeCell ref="B76:C76"/>
    <mergeCell ref="D76:E76"/>
    <mergeCell ref="F76:G76"/>
    <mergeCell ref="I76:K76"/>
    <mergeCell ref="L76:M76"/>
    <mergeCell ref="O76:P76"/>
    <mergeCell ref="Q76:R76"/>
    <mergeCell ref="S76:T76"/>
    <mergeCell ref="U76:V76"/>
    <mergeCell ref="B77:C77"/>
    <mergeCell ref="D77:E77"/>
    <mergeCell ref="F77:G77"/>
    <mergeCell ref="I77:K77"/>
    <mergeCell ref="L77:M77"/>
    <mergeCell ref="O77:P77"/>
    <mergeCell ref="Q77:R77"/>
    <mergeCell ref="S77:T77"/>
    <mergeCell ref="U77:V77"/>
    <mergeCell ref="B78:C78"/>
    <mergeCell ref="D78:E78"/>
    <mergeCell ref="F78:G78"/>
    <mergeCell ref="I78:K78"/>
    <mergeCell ref="L78:M78"/>
    <mergeCell ref="O78:P78"/>
    <mergeCell ref="Q78:R78"/>
    <mergeCell ref="S78:T78"/>
    <mergeCell ref="U78:V78"/>
    <mergeCell ref="B79:C79"/>
    <mergeCell ref="D79:E79"/>
    <mergeCell ref="F79:G79"/>
    <mergeCell ref="I79:K79"/>
    <mergeCell ref="L79:M79"/>
    <mergeCell ref="O79:P79"/>
    <mergeCell ref="Q79:R79"/>
    <mergeCell ref="S79:T79"/>
    <mergeCell ref="U79:V79"/>
    <mergeCell ref="B80:C80"/>
    <mergeCell ref="D80:E80"/>
    <mergeCell ref="F80:G80"/>
    <mergeCell ref="I80:K80"/>
    <mergeCell ref="L80:M80"/>
    <mergeCell ref="O80:P80"/>
    <mergeCell ref="Q80:R80"/>
    <mergeCell ref="S80:T80"/>
    <mergeCell ref="U80:V80"/>
  </mergeCells>
  <phoneticPr fontId="6" type="noConversion"/>
  <pageMargins left="0.7" right="0.7" top="0.75" bottom="0.75" header="0.3" footer="0.3"/>
  <pageSetup orientation="portrait" horizontalDpi="200" verticalDpi="20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E2F9-1FD1-40AE-9825-0213E85F0367}">
  <dimension ref="B2:N82"/>
  <sheetViews>
    <sheetView topLeftCell="A13" workbookViewId="0">
      <selection activeCell="R72" sqref="R72"/>
    </sheetView>
  </sheetViews>
  <sheetFormatPr defaultRowHeight="14.4" x14ac:dyDescent="0.3"/>
  <sheetData>
    <row r="2" spans="2:14" x14ac:dyDescent="0.3">
      <c r="B2" s="24" t="s">
        <v>121</v>
      </c>
      <c r="C2" s="20"/>
      <c r="D2" s="20"/>
      <c r="E2" s="20"/>
      <c r="F2" s="20"/>
      <c r="G2" s="20"/>
      <c r="H2" s="20"/>
    </row>
    <row r="3" spans="2:14" ht="14.4" customHeight="1" x14ac:dyDescent="0.3">
      <c r="B3" s="20"/>
      <c r="C3" s="20"/>
      <c r="D3" s="20"/>
      <c r="E3" s="20"/>
      <c r="F3" s="20"/>
      <c r="G3" s="20"/>
      <c r="H3" s="20"/>
    </row>
    <row r="4" spans="2:14" x14ac:dyDescent="0.3">
      <c r="B4" s="20"/>
      <c r="C4" s="20"/>
      <c r="D4" s="20"/>
      <c r="E4" s="20"/>
      <c r="F4" s="20"/>
      <c r="G4" s="20"/>
      <c r="H4" s="20"/>
    </row>
    <row r="5" spans="2:14" x14ac:dyDescent="0.3">
      <c r="B5" s="41" t="s">
        <v>122</v>
      </c>
      <c r="C5" s="41"/>
      <c r="D5" s="41"/>
      <c r="E5" s="41"/>
      <c r="F5" s="1"/>
      <c r="G5" s="1"/>
      <c r="H5" s="1"/>
    </row>
    <row r="6" spans="2:14" x14ac:dyDescent="0.3">
      <c r="B6" s="8"/>
      <c r="C6" s="8"/>
      <c r="D6" s="3"/>
    </row>
    <row r="7" spans="2:14" x14ac:dyDescent="0.3">
      <c r="B7" s="20" t="s">
        <v>27</v>
      </c>
      <c r="C7" s="20"/>
      <c r="D7" s="26" t="s">
        <v>56</v>
      </c>
      <c r="E7" s="20" t="s">
        <v>57</v>
      </c>
      <c r="F7" s="20"/>
      <c r="G7" s="20"/>
      <c r="H7" s="26" t="s">
        <v>52</v>
      </c>
      <c r="I7" s="26"/>
      <c r="J7" s="26" t="s">
        <v>34</v>
      </c>
      <c r="K7" s="26" t="s">
        <v>58</v>
      </c>
      <c r="L7" s="26"/>
      <c r="M7" s="20" t="s">
        <v>21</v>
      </c>
      <c r="N7" s="20"/>
    </row>
    <row r="8" spans="2:14" x14ac:dyDescent="0.3">
      <c r="B8" s="20"/>
      <c r="C8" s="20"/>
      <c r="D8" s="26"/>
      <c r="E8" s="20"/>
      <c r="F8" s="20"/>
      <c r="G8" s="20"/>
      <c r="H8" s="26"/>
      <c r="I8" s="26"/>
      <c r="J8" s="26"/>
      <c r="K8" s="26"/>
      <c r="L8" s="26"/>
      <c r="M8" s="20"/>
      <c r="N8" s="20"/>
    </row>
    <row r="9" spans="2:14" x14ac:dyDescent="0.3">
      <c r="B9" s="20"/>
      <c r="C9" s="20"/>
      <c r="D9" s="26"/>
      <c r="E9" s="20"/>
      <c r="F9" s="20"/>
      <c r="G9" s="20"/>
      <c r="H9" s="26"/>
      <c r="I9" s="26"/>
      <c r="J9" s="26"/>
      <c r="K9" s="26"/>
      <c r="L9" s="26"/>
      <c r="M9" s="20"/>
      <c r="N9" s="20"/>
    </row>
    <row r="10" spans="2:14" x14ac:dyDescent="0.3">
      <c r="B10" s="20" t="s">
        <v>36</v>
      </c>
      <c r="C10" s="20"/>
      <c r="D10" s="4">
        <v>1.3749999999999999E-3</v>
      </c>
      <c r="E10" s="23">
        <f>D10*H10/J10</f>
        <v>6.8749999999999992E-3</v>
      </c>
      <c r="F10" s="23"/>
      <c r="G10" s="23"/>
      <c r="H10" s="23">
        <v>5</v>
      </c>
      <c r="I10" s="23"/>
      <c r="J10" s="5">
        <v>1</v>
      </c>
      <c r="K10" s="28">
        <v>0.02</v>
      </c>
      <c r="L10" s="28"/>
      <c r="M10" s="23" t="str">
        <f>IF(K10&gt;=E10,"OK","NOT OK")</f>
        <v>OK</v>
      </c>
      <c r="N10" s="23"/>
    </row>
    <row r="11" spans="2:14" x14ac:dyDescent="0.3">
      <c r="B11" s="26" t="s">
        <v>37</v>
      </c>
      <c r="C11" s="26"/>
      <c r="D11" s="4">
        <v>1.6249999999999999E-3</v>
      </c>
      <c r="E11" s="23">
        <f t="shared" ref="E11:E22" si="0">D11*H11/J11</f>
        <v>8.1250000000000003E-3</v>
      </c>
      <c r="F11" s="23"/>
      <c r="G11" s="23"/>
      <c r="H11" s="23">
        <v>5</v>
      </c>
      <c r="I11" s="23"/>
      <c r="J11" s="5">
        <v>1</v>
      </c>
      <c r="K11" s="28">
        <v>0.02</v>
      </c>
      <c r="L11" s="28"/>
      <c r="M11" s="23" t="str">
        <f t="shared" ref="M11:M22" si="1">IF(K11&gt;=E11,"OK","NOT OK")</f>
        <v>OK</v>
      </c>
      <c r="N11" s="23"/>
    </row>
    <row r="12" spans="2:14" x14ac:dyDescent="0.3">
      <c r="B12" s="26" t="s">
        <v>38</v>
      </c>
      <c r="C12" s="26"/>
      <c r="D12" s="4">
        <v>1.9580000000000001E-3</v>
      </c>
      <c r="E12" s="23">
        <f t="shared" si="0"/>
        <v>9.7900000000000001E-3</v>
      </c>
      <c r="F12" s="23"/>
      <c r="G12" s="23"/>
      <c r="H12" s="23">
        <v>5</v>
      </c>
      <c r="I12" s="23"/>
      <c r="J12" s="5">
        <v>1</v>
      </c>
      <c r="K12" s="28">
        <v>0.02</v>
      </c>
      <c r="L12" s="28"/>
      <c r="M12" s="23" t="str">
        <f t="shared" si="1"/>
        <v>OK</v>
      </c>
      <c r="N12" s="23"/>
    </row>
    <row r="13" spans="2:14" x14ac:dyDescent="0.3">
      <c r="B13" s="26" t="s">
        <v>39</v>
      </c>
      <c r="C13" s="26"/>
      <c r="D13" s="4">
        <v>2.2729999999999998E-3</v>
      </c>
      <c r="E13" s="23">
        <f t="shared" si="0"/>
        <v>1.1365E-2</v>
      </c>
      <c r="F13" s="23"/>
      <c r="G13" s="23"/>
      <c r="H13" s="23">
        <v>5</v>
      </c>
      <c r="I13" s="23"/>
      <c r="J13" s="5">
        <v>1</v>
      </c>
      <c r="K13" s="28">
        <v>0.02</v>
      </c>
      <c r="L13" s="28"/>
      <c r="M13" s="23" t="str">
        <f t="shared" si="1"/>
        <v>OK</v>
      </c>
      <c r="N13" s="23"/>
    </row>
    <row r="14" spans="2:14" x14ac:dyDescent="0.3">
      <c r="B14" s="26" t="s">
        <v>40</v>
      </c>
      <c r="C14" s="26"/>
      <c r="D14" s="4">
        <v>2.5730000000000002E-3</v>
      </c>
      <c r="E14" s="23">
        <f t="shared" si="0"/>
        <v>1.2865000000000001E-2</v>
      </c>
      <c r="F14" s="23"/>
      <c r="G14" s="23"/>
      <c r="H14" s="23">
        <v>5</v>
      </c>
      <c r="I14" s="23"/>
      <c r="J14" s="5">
        <v>1</v>
      </c>
      <c r="K14" s="28">
        <v>0.02</v>
      </c>
      <c r="L14" s="28"/>
      <c r="M14" s="23" t="str">
        <f t="shared" si="1"/>
        <v>OK</v>
      </c>
      <c r="N14" s="23"/>
    </row>
    <row r="15" spans="2:14" x14ac:dyDescent="0.3">
      <c r="B15" s="26" t="s">
        <v>41</v>
      </c>
      <c r="C15" s="26"/>
      <c r="D15" s="4">
        <v>2.813E-3</v>
      </c>
      <c r="E15" s="23">
        <f t="shared" si="0"/>
        <v>1.4064999999999999E-2</v>
      </c>
      <c r="F15" s="23"/>
      <c r="G15" s="23"/>
      <c r="H15" s="23">
        <v>5</v>
      </c>
      <c r="I15" s="23"/>
      <c r="J15" s="5">
        <v>1</v>
      </c>
      <c r="K15" s="28">
        <v>0.02</v>
      </c>
      <c r="L15" s="28"/>
      <c r="M15" s="23" t="str">
        <f t="shared" si="1"/>
        <v>OK</v>
      </c>
      <c r="N15" s="23"/>
    </row>
    <row r="16" spans="2:14" x14ac:dyDescent="0.3">
      <c r="B16" s="26" t="s">
        <v>42</v>
      </c>
      <c r="C16" s="26"/>
      <c r="D16" s="4">
        <v>2.9680000000000002E-3</v>
      </c>
      <c r="E16" s="23">
        <f t="shared" si="0"/>
        <v>1.4840000000000001E-2</v>
      </c>
      <c r="F16" s="23"/>
      <c r="G16" s="23"/>
      <c r="H16" s="23">
        <v>5</v>
      </c>
      <c r="I16" s="23"/>
      <c r="J16" s="5">
        <v>1</v>
      </c>
      <c r="K16" s="28">
        <v>0.02</v>
      </c>
      <c r="L16" s="28"/>
      <c r="M16" s="23" t="str">
        <f t="shared" si="1"/>
        <v>OK</v>
      </c>
      <c r="N16" s="23"/>
    </row>
    <row r="17" spans="2:14" x14ac:dyDescent="0.3">
      <c r="B17" s="26" t="s">
        <v>43</v>
      </c>
      <c r="C17" s="26"/>
      <c r="D17" s="4">
        <v>3.0109999999999998E-3</v>
      </c>
      <c r="E17" s="23">
        <f t="shared" si="0"/>
        <v>1.5054999999999999E-2</v>
      </c>
      <c r="F17" s="23"/>
      <c r="G17" s="23"/>
      <c r="H17" s="23">
        <v>5</v>
      </c>
      <c r="I17" s="23"/>
      <c r="J17" s="5">
        <v>1</v>
      </c>
      <c r="K17" s="28">
        <v>0.02</v>
      </c>
      <c r="L17" s="28"/>
      <c r="M17" s="23" t="str">
        <f t="shared" si="1"/>
        <v>OK</v>
      </c>
      <c r="N17" s="23"/>
    </row>
    <row r="18" spans="2:14" x14ac:dyDescent="0.3">
      <c r="B18" s="26" t="s">
        <v>44</v>
      </c>
      <c r="C18" s="26"/>
      <c r="D18" s="4">
        <v>2.8890000000000001E-3</v>
      </c>
      <c r="E18" s="23">
        <f t="shared" si="0"/>
        <v>1.4445E-2</v>
      </c>
      <c r="F18" s="23"/>
      <c r="G18" s="23"/>
      <c r="H18" s="23">
        <v>5</v>
      </c>
      <c r="I18" s="23"/>
      <c r="J18" s="5">
        <v>1</v>
      </c>
      <c r="K18" s="28">
        <v>0.02</v>
      </c>
      <c r="L18" s="28"/>
      <c r="M18" s="23" t="str">
        <f t="shared" si="1"/>
        <v>OK</v>
      </c>
      <c r="N18" s="23"/>
    </row>
    <row r="19" spans="2:14" x14ac:dyDescent="0.3">
      <c r="B19" s="26" t="s">
        <v>45</v>
      </c>
      <c r="C19" s="26"/>
      <c r="D19" s="4">
        <v>2.5530000000000001E-3</v>
      </c>
      <c r="E19" s="23">
        <f t="shared" si="0"/>
        <v>1.2765E-2</v>
      </c>
      <c r="F19" s="23"/>
      <c r="G19" s="23"/>
      <c r="H19" s="23">
        <v>5</v>
      </c>
      <c r="I19" s="23"/>
      <c r="J19" s="5">
        <v>1</v>
      </c>
      <c r="K19" s="28">
        <v>0.02</v>
      </c>
      <c r="L19" s="28"/>
      <c r="M19" s="23" t="str">
        <f t="shared" si="1"/>
        <v>OK</v>
      </c>
      <c r="N19" s="23"/>
    </row>
    <row r="20" spans="2:14" x14ac:dyDescent="0.3">
      <c r="B20" s="26" t="s">
        <v>46</v>
      </c>
      <c r="C20" s="26"/>
      <c r="D20" s="4">
        <v>2E-3</v>
      </c>
      <c r="E20" s="23">
        <f t="shared" si="0"/>
        <v>0.01</v>
      </c>
      <c r="F20" s="23"/>
      <c r="G20" s="23"/>
      <c r="H20" s="23">
        <v>5</v>
      </c>
      <c r="I20" s="23"/>
      <c r="J20" s="5">
        <v>1</v>
      </c>
      <c r="K20" s="28">
        <v>0.02</v>
      </c>
      <c r="L20" s="28"/>
      <c r="M20" s="23" t="str">
        <f t="shared" si="1"/>
        <v>OK</v>
      </c>
      <c r="N20" s="23"/>
    </row>
    <row r="21" spans="2:14" x14ac:dyDescent="0.3">
      <c r="B21" s="26" t="s">
        <v>47</v>
      </c>
      <c r="C21" s="26"/>
      <c r="D21" s="4">
        <v>1.423E-3</v>
      </c>
      <c r="E21" s="23">
        <f t="shared" si="0"/>
        <v>7.1149999999999998E-3</v>
      </c>
      <c r="F21" s="23"/>
      <c r="G21" s="23"/>
      <c r="H21" s="23">
        <v>5</v>
      </c>
      <c r="I21" s="23"/>
      <c r="J21" s="5">
        <v>1</v>
      </c>
      <c r="K21" s="28">
        <v>0.02</v>
      </c>
      <c r="L21" s="28"/>
      <c r="M21" s="23" t="str">
        <f t="shared" si="1"/>
        <v>OK</v>
      </c>
      <c r="N21" s="23"/>
    </row>
    <row r="22" spans="2:14" x14ac:dyDescent="0.3">
      <c r="B22" s="26" t="s">
        <v>48</v>
      </c>
      <c r="C22" s="26"/>
      <c r="D22" s="7">
        <v>0</v>
      </c>
      <c r="E22" s="23">
        <f t="shared" si="0"/>
        <v>0</v>
      </c>
      <c r="F22" s="23"/>
      <c r="G22" s="23"/>
      <c r="H22" s="23">
        <v>5</v>
      </c>
      <c r="I22" s="23"/>
      <c r="J22" s="5">
        <v>1</v>
      </c>
      <c r="K22" s="28">
        <v>0.02</v>
      </c>
      <c r="L22" s="28"/>
      <c r="M22" s="23" t="str">
        <f t="shared" si="1"/>
        <v>OK</v>
      </c>
      <c r="N22" s="23"/>
    </row>
    <row r="25" spans="2:14" x14ac:dyDescent="0.3">
      <c r="B25" s="29" t="s">
        <v>123</v>
      </c>
      <c r="C25" s="29"/>
      <c r="D25" s="29"/>
      <c r="E25" s="29"/>
      <c r="F25" s="1"/>
      <c r="G25" s="1"/>
      <c r="H25" s="1"/>
    </row>
    <row r="26" spans="2:14" x14ac:dyDescent="0.3">
      <c r="B26" s="8"/>
      <c r="C26" s="8"/>
      <c r="D26" s="3"/>
    </row>
    <row r="27" spans="2:14" x14ac:dyDescent="0.3">
      <c r="B27" s="20" t="s">
        <v>27</v>
      </c>
      <c r="C27" s="20"/>
      <c r="D27" s="26" t="s">
        <v>56</v>
      </c>
      <c r="E27" s="20" t="s">
        <v>57</v>
      </c>
      <c r="F27" s="20"/>
      <c r="G27" s="20"/>
      <c r="H27" s="26" t="s">
        <v>52</v>
      </c>
      <c r="I27" s="26"/>
      <c r="J27" s="26" t="s">
        <v>34</v>
      </c>
      <c r="K27" s="26" t="s">
        <v>58</v>
      </c>
      <c r="L27" s="26"/>
      <c r="M27" s="20" t="s">
        <v>21</v>
      </c>
      <c r="N27" s="20"/>
    </row>
    <row r="28" spans="2:14" x14ac:dyDescent="0.3">
      <c r="B28" s="20"/>
      <c r="C28" s="20"/>
      <c r="D28" s="26"/>
      <c r="E28" s="20"/>
      <c r="F28" s="20"/>
      <c r="G28" s="20"/>
      <c r="H28" s="26"/>
      <c r="I28" s="26"/>
      <c r="J28" s="26"/>
      <c r="K28" s="26"/>
      <c r="L28" s="26"/>
      <c r="M28" s="20"/>
      <c r="N28" s="20"/>
    </row>
    <row r="29" spans="2:14" x14ac:dyDescent="0.3">
      <c r="B29" s="20"/>
      <c r="C29" s="20"/>
      <c r="D29" s="26"/>
      <c r="E29" s="20"/>
      <c r="F29" s="20"/>
      <c r="G29" s="20"/>
      <c r="H29" s="26"/>
      <c r="I29" s="26"/>
      <c r="J29" s="26"/>
      <c r="K29" s="26"/>
      <c r="L29" s="26"/>
      <c r="M29" s="20"/>
      <c r="N29" s="20"/>
    </row>
    <row r="30" spans="2:14" x14ac:dyDescent="0.3">
      <c r="B30" s="20" t="s">
        <v>36</v>
      </c>
      <c r="C30" s="20"/>
      <c r="D30" s="6">
        <v>0</v>
      </c>
      <c r="E30" s="23">
        <f>D30*H30/J30</f>
        <v>0</v>
      </c>
      <c r="F30" s="23"/>
      <c r="G30" s="23"/>
      <c r="H30" s="23">
        <v>5</v>
      </c>
      <c r="I30" s="23"/>
      <c r="J30" s="5">
        <v>1</v>
      </c>
      <c r="K30" s="28">
        <v>0.02</v>
      </c>
      <c r="L30" s="28"/>
      <c r="M30" s="23" t="str">
        <f>IF(K30&gt;=E30,"OK","NOT OK")</f>
        <v>OK</v>
      </c>
      <c r="N30" s="23"/>
    </row>
    <row r="31" spans="2:14" x14ac:dyDescent="0.3">
      <c r="B31" s="26" t="s">
        <v>37</v>
      </c>
      <c r="C31" s="26"/>
      <c r="D31" s="6">
        <v>0</v>
      </c>
      <c r="E31" s="23">
        <f t="shared" ref="E31:E42" si="2">D31*H31/J31</f>
        <v>0</v>
      </c>
      <c r="F31" s="23"/>
      <c r="G31" s="23"/>
      <c r="H31" s="23">
        <v>5</v>
      </c>
      <c r="I31" s="23"/>
      <c r="J31" s="5">
        <v>1</v>
      </c>
      <c r="K31" s="28">
        <v>0.02</v>
      </c>
      <c r="L31" s="28"/>
      <c r="M31" s="23" t="str">
        <f t="shared" ref="M31:M42" si="3">IF(K31&gt;=E31,"OK","NOT OK")</f>
        <v>OK</v>
      </c>
      <c r="N31" s="23"/>
    </row>
    <row r="32" spans="2:14" x14ac:dyDescent="0.3">
      <c r="B32" s="26" t="s">
        <v>38</v>
      </c>
      <c r="C32" s="26"/>
      <c r="D32" s="6">
        <v>0</v>
      </c>
      <c r="E32" s="23">
        <f t="shared" si="2"/>
        <v>0</v>
      </c>
      <c r="F32" s="23"/>
      <c r="G32" s="23"/>
      <c r="H32" s="23">
        <v>5</v>
      </c>
      <c r="I32" s="23"/>
      <c r="J32" s="5">
        <v>1</v>
      </c>
      <c r="K32" s="28">
        <v>0.02</v>
      </c>
      <c r="L32" s="28"/>
      <c r="M32" s="23" t="str">
        <f t="shared" si="3"/>
        <v>OK</v>
      </c>
      <c r="N32" s="23"/>
    </row>
    <row r="33" spans="2:14" x14ac:dyDescent="0.3">
      <c r="B33" s="26" t="s">
        <v>39</v>
      </c>
      <c r="C33" s="26"/>
      <c r="D33" s="6">
        <v>0</v>
      </c>
      <c r="E33" s="23">
        <f t="shared" si="2"/>
        <v>0</v>
      </c>
      <c r="F33" s="23"/>
      <c r="G33" s="23"/>
      <c r="H33" s="23">
        <v>5</v>
      </c>
      <c r="I33" s="23"/>
      <c r="J33" s="5">
        <v>1</v>
      </c>
      <c r="K33" s="28">
        <v>0.02</v>
      </c>
      <c r="L33" s="28"/>
      <c r="M33" s="23" t="str">
        <f t="shared" si="3"/>
        <v>OK</v>
      </c>
      <c r="N33" s="23"/>
    </row>
    <row r="34" spans="2:14" x14ac:dyDescent="0.3">
      <c r="B34" s="26" t="s">
        <v>40</v>
      </c>
      <c r="C34" s="26"/>
      <c r="D34" s="6">
        <v>0</v>
      </c>
      <c r="E34" s="23">
        <f t="shared" si="2"/>
        <v>0</v>
      </c>
      <c r="F34" s="23"/>
      <c r="G34" s="23"/>
      <c r="H34" s="23">
        <v>5</v>
      </c>
      <c r="I34" s="23"/>
      <c r="J34" s="5">
        <v>1</v>
      </c>
      <c r="K34" s="28">
        <v>0.02</v>
      </c>
      <c r="L34" s="28"/>
      <c r="M34" s="23" t="str">
        <f t="shared" si="3"/>
        <v>OK</v>
      </c>
      <c r="N34" s="23"/>
    </row>
    <row r="35" spans="2:14" x14ac:dyDescent="0.3">
      <c r="B35" s="26" t="s">
        <v>41</v>
      </c>
      <c r="C35" s="26"/>
      <c r="D35" s="6">
        <v>0</v>
      </c>
      <c r="E35" s="23">
        <f t="shared" si="2"/>
        <v>0</v>
      </c>
      <c r="F35" s="23"/>
      <c r="G35" s="23"/>
      <c r="H35" s="23">
        <v>5</v>
      </c>
      <c r="I35" s="23"/>
      <c r="J35" s="5">
        <v>1</v>
      </c>
      <c r="K35" s="28">
        <v>0.02</v>
      </c>
      <c r="L35" s="28"/>
      <c r="M35" s="23" t="str">
        <f t="shared" si="3"/>
        <v>OK</v>
      </c>
      <c r="N35" s="23"/>
    </row>
    <row r="36" spans="2:14" x14ac:dyDescent="0.3">
      <c r="B36" s="26" t="s">
        <v>42</v>
      </c>
      <c r="C36" s="26"/>
      <c r="D36" s="6">
        <v>0</v>
      </c>
      <c r="E36" s="23">
        <f t="shared" si="2"/>
        <v>0</v>
      </c>
      <c r="F36" s="23"/>
      <c r="G36" s="23"/>
      <c r="H36" s="23">
        <v>5</v>
      </c>
      <c r="I36" s="23"/>
      <c r="J36" s="5">
        <v>1</v>
      </c>
      <c r="K36" s="28">
        <v>0.02</v>
      </c>
      <c r="L36" s="28"/>
      <c r="M36" s="23" t="str">
        <f t="shared" si="3"/>
        <v>OK</v>
      </c>
      <c r="N36" s="23"/>
    </row>
    <row r="37" spans="2:14" x14ac:dyDescent="0.3">
      <c r="B37" s="26" t="s">
        <v>43</v>
      </c>
      <c r="C37" s="26"/>
      <c r="D37" s="6">
        <v>0</v>
      </c>
      <c r="E37" s="23">
        <f t="shared" si="2"/>
        <v>0</v>
      </c>
      <c r="F37" s="23"/>
      <c r="G37" s="23"/>
      <c r="H37" s="23">
        <v>5</v>
      </c>
      <c r="I37" s="23"/>
      <c r="J37" s="5">
        <v>1</v>
      </c>
      <c r="K37" s="28">
        <v>0.02</v>
      </c>
      <c r="L37" s="28"/>
      <c r="M37" s="23" t="str">
        <f t="shared" si="3"/>
        <v>OK</v>
      </c>
      <c r="N37" s="23"/>
    </row>
    <row r="38" spans="2:14" x14ac:dyDescent="0.3">
      <c r="B38" s="26" t="s">
        <v>44</v>
      </c>
      <c r="C38" s="26"/>
      <c r="D38" s="6">
        <v>0</v>
      </c>
      <c r="E38" s="23">
        <f t="shared" si="2"/>
        <v>0</v>
      </c>
      <c r="F38" s="23"/>
      <c r="G38" s="23"/>
      <c r="H38" s="23">
        <v>5</v>
      </c>
      <c r="I38" s="23"/>
      <c r="J38" s="5">
        <v>1</v>
      </c>
      <c r="K38" s="28">
        <v>0.02</v>
      </c>
      <c r="L38" s="28"/>
      <c r="M38" s="23" t="str">
        <f t="shared" si="3"/>
        <v>OK</v>
      </c>
      <c r="N38" s="23"/>
    </row>
    <row r="39" spans="2:14" x14ac:dyDescent="0.3">
      <c r="B39" s="26" t="s">
        <v>45</v>
      </c>
      <c r="C39" s="26"/>
      <c r="D39" s="6">
        <v>0</v>
      </c>
      <c r="E39" s="23">
        <f t="shared" si="2"/>
        <v>0</v>
      </c>
      <c r="F39" s="23"/>
      <c r="G39" s="23"/>
      <c r="H39" s="23">
        <v>5</v>
      </c>
      <c r="I39" s="23"/>
      <c r="J39" s="5">
        <v>1</v>
      </c>
      <c r="K39" s="28">
        <v>0.02</v>
      </c>
      <c r="L39" s="28"/>
      <c r="M39" s="23" t="str">
        <f t="shared" si="3"/>
        <v>OK</v>
      </c>
      <c r="N39" s="23"/>
    </row>
    <row r="40" spans="2:14" x14ac:dyDescent="0.3">
      <c r="B40" s="26" t="s">
        <v>46</v>
      </c>
      <c r="C40" s="26"/>
      <c r="D40" s="6">
        <v>0</v>
      </c>
      <c r="E40" s="23">
        <f t="shared" si="2"/>
        <v>0</v>
      </c>
      <c r="F40" s="23"/>
      <c r="G40" s="23"/>
      <c r="H40" s="23">
        <v>5</v>
      </c>
      <c r="I40" s="23"/>
      <c r="J40" s="5">
        <v>1</v>
      </c>
      <c r="K40" s="28">
        <v>0.02</v>
      </c>
      <c r="L40" s="28"/>
      <c r="M40" s="23" t="str">
        <f t="shared" si="3"/>
        <v>OK</v>
      </c>
      <c r="N40" s="23"/>
    </row>
    <row r="41" spans="2:14" x14ac:dyDescent="0.3">
      <c r="B41" s="26" t="s">
        <v>47</v>
      </c>
      <c r="C41" s="26"/>
      <c r="D41" s="6">
        <v>0</v>
      </c>
      <c r="E41" s="23">
        <f t="shared" si="2"/>
        <v>0</v>
      </c>
      <c r="F41" s="23"/>
      <c r="G41" s="23"/>
      <c r="H41" s="23">
        <v>5</v>
      </c>
      <c r="I41" s="23"/>
      <c r="J41" s="5">
        <v>1</v>
      </c>
      <c r="K41" s="28">
        <v>0.02</v>
      </c>
      <c r="L41" s="28"/>
      <c r="M41" s="23" t="str">
        <f t="shared" si="3"/>
        <v>OK</v>
      </c>
      <c r="N41" s="23"/>
    </row>
    <row r="42" spans="2:14" x14ac:dyDescent="0.3">
      <c r="B42" s="26" t="s">
        <v>48</v>
      </c>
      <c r="C42" s="26"/>
      <c r="D42" s="6">
        <v>0</v>
      </c>
      <c r="E42" s="23">
        <f t="shared" si="2"/>
        <v>0</v>
      </c>
      <c r="F42" s="23"/>
      <c r="G42" s="23"/>
      <c r="H42" s="23">
        <v>5</v>
      </c>
      <c r="I42" s="23"/>
      <c r="J42" s="5">
        <v>1</v>
      </c>
      <c r="K42" s="28">
        <v>0.02</v>
      </c>
      <c r="L42" s="28"/>
      <c r="M42" s="23" t="str">
        <f t="shared" si="3"/>
        <v>OK</v>
      </c>
      <c r="N42" s="23"/>
    </row>
    <row r="45" spans="2:14" x14ac:dyDescent="0.3">
      <c r="B45" s="29" t="s">
        <v>53</v>
      </c>
      <c r="C45" s="29"/>
      <c r="D45" s="29"/>
      <c r="E45" s="29"/>
      <c r="F45" s="1"/>
      <c r="G45" s="1"/>
      <c r="H45" s="1"/>
    </row>
    <row r="46" spans="2:14" x14ac:dyDescent="0.3">
      <c r="B46" s="8"/>
      <c r="C46" s="8"/>
      <c r="D46" s="3"/>
    </row>
    <row r="47" spans="2:14" x14ac:dyDescent="0.3">
      <c r="B47" s="20" t="s">
        <v>27</v>
      </c>
      <c r="C47" s="20"/>
      <c r="D47" s="26" t="s">
        <v>56</v>
      </c>
      <c r="E47" s="20" t="s">
        <v>57</v>
      </c>
      <c r="F47" s="20"/>
      <c r="G47" s="20"/>
      <c r="H47" s="26" t="s">
        <v>52</v>
      </c>
      <c r="I47" s="26"/>
      <c r="J47" s="26" t="s">
        <v>34</v>
      </c>
      <c r="K47" s="26" t="s">
        <v>58</v>
      </c>
      <c r="L47" s="26"/>
      <c r="M47" s="20" t="s">
        <v>21</v>
      </c>
      <c r="N47" s="20"/>
    </row>
    <row r="48" spans="2:14" x14ac:dyDescent="0.3">
      <c r="B48" s="20"/>
      <c r="C48" s="20"/>
      <c r="D48" s="26"/>
      <c r="E48" s="20"/>
      <c r="F48" s="20"/>
      <c r="G48" s="20"/>
      <c r="H48" s="26"/>
      <c r="I48" s="26"/>
      <c r="J48" s="26"/>
      <c r="K48" s="26"/>
      <c r="L48" s="26"/>
      <c r="M48" s="20"/>
      <c r="N48" s="20"/>
    </row>
    <row r="49" spans="2:14" x14ac:dyDescent="0.3">
      <c r="B49" s="20"/>
      <c r="C49" s="20"/>
      <c r="D49" s="26"/>
      <c r="E49" s="20"/>
      <c r="F49" s="20"/>
      <c r="G49" s="20"/>
      <c r="H49" s="26"/>
      <c r="I49" s="26"/>
      <c r="J49" s="26"/>
      <c r="K49" s="26"/>
      <c r="L49" s="26"/>
      <c r="M49" s="20"/>
      <c r="N49" s="20"/>
    </row>
    <row r="50" spans="2:14" x14ac:dyDescent="0.3">
      <c r="B50" s="20" t="s">
        <v>36</v>
      </c>
      <c r="C50" s="20"/>
      <c r="D50" s="6">
        <v>0</v>
      </c>
      <c r="E50" s="23">
        <f>D50*H50/J50</f>
        <v>0</v>
      </c>
      <c r="F50" s="23"/>
      <c r="G50" s="23"/>
      <c r="H50" s="23">
        <v>5</v>
      </c>
      <c r="I50" s="23"/>
      <c r="J50" s="5">
        <v>1</v>
      </c>
      <c r="K50" s="28">
        <v>0.02</v>
      </c>
      <c r="L50" s="28"/>
      <c r="M50" s="23" t="str">
        <f>IF(K50&gt;=E50,"OK","NOT OK")</f>
        <v>OK</v>
      </c>
      <c r="N50" s="23"/>
    </row>
    <row r="51" spans="2:14" x14ac:dyDescent="0.3">
      <c r="B51" s="26" t="s">
        <v>37</v>
      </c>
      <c r="C51" s="26"/>
      <c r="D51" s="6">
        <v>0</v>
      </c>
      <c r="E51" s="23">
        <f t="shared" ref="E51:E62" si="4">D51*H51/J51</f>
        <v>0</v>
      </c>
      <c r="F51" s="23"/>
      <c r="G51" s="23"/>
      <c r="H51" s="23">
        <v>5</v>
      </c>
      <c r="I51" s="23"/>
      <c r="J51" s="5">
        <v>1</v>
      </c>
      <c r="K51" s="28">
        <v>0.02</v>
      </c>
      <c r="L51" s="28"/>
      <c r="M51" s="23" t="str">
        <f t="shared" ref="M51:M62" si="5">IF(K51&gt;=E51,"OK","NOT OK")</f>
        <v>OK</v>
      </c>
      <c r="N51" s="23"/>
    </row>
    <row r="52" spans="2:14" x14ac:dyDescent="0.3">
      <c r="B52" s="26" t="s">
        <v>38</v>
      </c>
      <c r="C52" s="26"/>
      <c r="D52" s="6">
        <v>0</v>
      </c>
      <c r="E52" s="23">
        <f t="shared" si="4"/>
        <v>0</v>
      </c>
      <c r="F52" s="23"/>
      <c r="G52" s="23"/>
      <c r="H52" s="23">
        <v>5</v>
      </c>
      <c r="I52" s="23"/>
      <c r="J52" s="5">
        <v>1</v>
      </c>
      <c r="K52" s="28">
        <v>0.02</v>
      </c>
      <c r="L52" s="28"/>
      <c r="M52" s="23" t="str">
        <f t="shared" si="5"/>
        <v>OK</v>
      </c>
      <c r="N52" s="23"/>
    </row>
    <row r="53" spans="2:14" x14ac:dyDescent="0.3">
      <c r="B53" s="26" t="s">
        <v>39</v>
      </c>
      <c r="C53" s="26"/>
      <c r="D53" s="6">
        <v>0</v>
      </c>
      <c r="E53" s="23">
        <f t="shared" si="4"/>
        <v>0</v>
      </c>
      <c r="F53" s="23"/>
      <c r="G53" s="23"/>
      <c r="H53" s="23">
        <v>5</v>
      </c>
      <c r="I53" s="23"/>
      <c r="J53" s="5">
        <v>1</v>
      </c>
      <c r="K53" s="28">
        <v>0.02</v>
      </c>
      <c r="L53" s="28"/>
      <c r="M53" s="23" t="str">
        <f t="shared" si="5"/>
        <v>OK</v>
      </c>
      <c r="N53" s="23"/>
    </row>
    <row r="54" spans="2:14" x14ac:dyDescent="0.3">
      <c r="B54" s="26" t="s">
        <v>40</v>
      </c>
      <c r="C54" s="26"/>
      <c r="D54" s="6">
        <v>0</v>
      </c>
      <c r="E54" s="23">
        <f t="shared" si="4"/>
        <v>0</v>
      </c>
      <c r="F54" s="23"/>
      <c r="G54" s="23"/>
      <c r="H54" s="23">
        <v>5</v>
      </c>
      <c r="I54" s="23"/>
      <c r="J54" s="5">
        <v>1</v>
      </c>
      <c r="K54" s="28">
        <v>0.02</v>
      </c>
      <c r="L54" s="28"/>
      <c r="M54" s="23" t="str">
        <f t="shared" si="5"/>
        <v>OK</v>
      </c>
      <c r="N54" s="23"/>
    </row>
    <row r="55" spans="2:14" x14ac:dyDescent="0.3">
      <c r="B55" s="26" t="s">
        <v>41</v>
      </c>
      <c r="C55" s="26"/>
      <c r="D55" s="6">
        <v>0</v>
      </c>
      <c r="E55" s="23">
        <f t="shared" si="4"/>
        <v>0</v>
      </c>
      <c r="F55" s="23"/>
      <c r="G55" s="23"/>
      <c r="H55" s="23">
        <v>5</v>
      </c>
      <c r="I55" s="23"/>
      <c r="J55" s="5">
        <v>1</v>
      </c>
      <c r="K55" s="28">
        <v>0.02</v>
      </c>
      <c r="L55" s="28"/>
      <c r="M55" s="23" t="str">
        <f t="shared" si="5"/>
        <v>OK</v>
      </c>
      <c r="N55" s="23"/>
    </row>
    <row r="56" spans="2:14" x14ac:dyDescent="0.3">
      <c r="B56" s="26" t="s">
        <v>42</v>
      </c>
      <c r="C56" s="26"/>
      <c r="D56" s="6">
        <v>0</v>
      </c>
      <c r="E56" s="23">
        <f t="shared" si="4"/>
        <v>0</v>
      </c>
      <c r="F56" s="23"/>
      <c r="G56" s="23"/>
      <c r="H56" s="23">
        <v>5</v>
      </c>
      <c r="I56" s="23"/>
      <c r="J56" s="5">
        <v>1</v>
      </c>
      <c r="K56" s="28">
        <v>0.02</v>
      </c>
      <c r="L56" s="28"/>
      <c r="M56" s="23" t="str">
        <f t="shared" si="5"/>
        <v>OK</v>
      </c>
      <c r="N56" s="23"/>
    </row>
    <row r="57" spans="2:14" x14ac:dyDescent="0.3">
      <c r="B57" s="26" t="s">
        <v>43</v>
      </c>
      <c r="C57" s="26"/>
      <c r="D57" s="6">
        <v>0</v>
      </c>
      <c r="E57" s="23">
        <f t="shared" si="4"/>
        <v>0</v>
      </c>
      <c r="F57" s="23"/>
      <c r="G57" s="23"/>
      <c r="H57" s="23">
        <v>5</v>
      </c>
      <c r="I57" s="23"/>
      <c r="J57" s="5">
        <v>1</v>
      </c>
      <c r="K57" s="28">
        <v>0.02</v>
      </c>
      <c r="L57" s="28"/>
      <c r="M57" s="23" t="str">
        <f t="shared" si="5"/>
        <v>OK</v>
      </c>
      <c r="N57" s="23"/>
    </row>
    <row r="58" spans="2:14" x14ac:dyDescent="0.3">
      <c r="B58" s="26" t="s">
        <v>44</v>
      </c>
      <c r="C58" s="26"/>
      <c r="D58" s="6">
        <v>0</v>
      </c>
      <c r="E58" s="23">
        <f t="shared" si="4"/>
        <v>0</v>
      </c>
      <c r="F58" s="23"/>
      <c r="G58" s="23"/>
      <c r="H58" s="23">
        <v>5</v>
      </c>
      <c r="I58" s="23"/>
      <c r="J58" s="5">
        <v>1</v>
      </c>
      <c r="K58" s="28">
        <v>0.02</v>
      </c>
      <c r="L58" s="28"/>
      <c r="M58" s="23" t="str">
        <f t="shared" si="5"/>
        <v>OK</v>
      </c>
      <c r="N58" s="23"/>
    </row>
    <row r="59" spans="2:14" x14ac:dyDescent="0.3">
      <c r="B59" s="26" t="s">
        <v>45</v>
      </c>
      <c r="C59" s="26"/>
      <c r="D59" s="6">
        <v>0</v>
      </c>
      <c r="E59" s="23">
        <f t="shared" si="4"/>
        <v>0</v>
      </c>
      <c r="F59" s="23"/>
      <c r="G59" s="23"/>
      <c r="H59" s="23">
        <v>5</v>
      </c>
      <c r="I59" s="23"/>
      <c r="J59" s="5">
        <v>1</v>
      </c>
      <c r="K59" s="28">
        <v>0.02</v>
      </c>
      <c r="L59" s="28"/>
      <c r="M59" s="23" t="str">
        <f t="shared" si="5"/>
        <v>OK</v>
      </c>
      <c r="N59" s="23"/>
    </row>
    <row r="60" spans="2:14" x14ac:dyDescent="0.3">
      <c r="B60" s="26" t="s">
        <v>46</v>
      </c>
      <c r="C60" s="26"/>
      <c r="D60" s="6">
        <v>0</v>
      </c>
      <c r="E60" s="23">
        <f t="shared" si="4"/>
        <v>0</v>
      </c>
      <c r="F60" s="23"/>
      <c r="G60" s="23"/>
      <c r="H60" s="23">
        <v>5</v>
      </c>
      <c r="I60" s="23"/>
      <c r="J60" s="5">
        <v>1</v>
      </c>
      <c r="K60" s="28">
        <v>0.02</v>
      </c>
      <c r="L60" s="28"/>
      <c r="M60" s="23" t="str">
        <f t="shared" si="5"/>
        <v>OK</v>
      </c>
      <c r="N60" s="23"/>
    </row>
    <row r="61" spans="2:14" x14ac:dyDescent="0.3">
      <c r="B61" s="26" t="s">
        <v>47</v>
      </c>
      <c r="C61" s="26"/>
      <c r="D61" s="6">
        <v>0</v>
      </c>
      <c r="E61" s="23">
        <f t="shared" si="4"/>
        <v>0</v>
      </c>
      <c r="F61" s="23"/>
      <c r="G61" s="23"/>
      <c r="H61" s="23">
        <v>5</v>
      </c>
      <c r="I61" s="23"/>
      <c r="J61" s="5">
        <v>1</v>
      </c>
      <c r="K61" s="28">
        <v>0.02</v>
      </c>
      <c r="L61" s="28"/>
      <c r="M61" s="23" t="str">
        <f t="shared" si="5"/>
        <v>OK</v>
      </c>
      <c r="N61" s="23"/>
    </row>
    <row r="62" spans="2:14" x14ac:dyDescent="0.3">
      <c r="B62" s="26" t="s">
        <v>48</v>
      </c>
      <c r="C62" s="26"/>
      <c r="D62" s="6">
        <v>0</v>
      </c>
      <c r="E62" s="23">
        <f t="shared" si="4"/>
        <v>0</v>
      </c>
      <c r="F62" s="23"/>
      <c r="G62" s="23"/>
      <c r="H62" s="23">
        <v>5</v>
      </c>
      <c r="I62" s="23"/>
      <c r="J62" s="5">
        <v>1</v>
      </c>
      <c r="K62" s="28">
        <v>0.02</v>
      </c>
      <c r="L62" s="28"/>
      <c r="M62" s="23" t="str">
        <f t="shared" si="5"/>
        <v>OK</v>
      </c>
      <c r="N62" s="23"/>
    </row>
    <row r="65" spans="2:14" x14ac:dyDescent="0.3">
      <c r="B65" s="29" t="s">
        <v>54</v>
      </c>
      <c r="C65" s="29"/>
      <c r="D65" s="29"/>
      <c r="E65" s="29"/>
      <c r="F65" s="1"/>
      <c r="G65" s="1"/>
      <c r="H65" s="1"/>
    </row>
    <row r="66" spans="2:14" x14ac:dyDescent="0.3">
      <c r="B66" s="8"/>
      <c r="C66" s="8"/>
      <c r="D66" s="3"/>
    </row>
    <row r="67" spans="2:14" x14ac:dyDescent="0.3">
      <c r="B67" s="20" t="s">
        <v>27</v>
      </c>
      <c r="C67" s="20"/>
      <c r="D67" s="26" t="s">
        <v>56</v>
      </c>
      <c r="E67" s="20" t="s">
        <v>57</v>
      </c>
      <c r="F67" s="20"/>
      <c r="G67" s="20"/>
      <c r="H67" s="26" t="s">
        <v>52</v>
      </c>
      <c r="I67" s="26"/>
      <c r="J67" s="26" t="s">
        <v>34</v>
      </c>
      <c r="K67" s="26" t="s">
        <v>58</v>
      </c>
      <c r="L67" s="26"/>
      <c r="M67" s="20" t="s">
        <v>21</v>
      </c>
      <c r="N67" s="20"/>
    </row>
    <row r="68" spans="2:14" x14ac:dyDescent="0.3">
      <c r="B68" s="20"/>
      <c r="C68" s="20"/>
      <c r="D68" s="26"/>
      <c r="E68" s="20"/>
      <c r="F68" s="20"/>
      <c r="G68" s="20"/>
      <c r="H68" s="26"/>
      <c r="I68" s="26"/>
      <c r="J68" s="26"/>
      <c r="K68" s="26"/>
      <c r="L68" s="26"/>
      <c r="M68" s="20"/>
      <c r="N68" s="20"/>
    </row>
    <row r="69" spans="2:14" x14ac:dyDescent="0.3">
      <c r="B69" s="20"/>
      <c r="C69" s="20"/>
      <c r="D69" s="26"/>
      <c r="E69" s="20"/>
      <c r="F69" s="20"/>
      <c r="G69" s="20"/>
      <c r="H69" s="26"/>
      <c r="I69" s="26"/>
      <c r="J69" s="26"/>
      <c r="K69" s="26"/>
      <c r="L69" s="26"/>
      <c r="M69" s="20"/>
      <c r="N69" s="20"/>
    </row>
    <row r="70" spans="2:14" x14ac:dyDescent="0.3">
      <c r="B70" s="20" t="s">
        <v>36</v>
      </c>
      <c r="C70" s="20"/>
      <c r="D70" s="4">
        <v>1.9319999999999999E-3</v>
      </c>
      <c r="E70" s="52">
        <f>D70*H70/J70</f>
        <v>9.6600000000000002E-3</v>
      </c>
      <c r="F70" s="52"/>
      <c r="G70" s="52"/>
      <c r="H70" s="23">
        <v>5</v>
      </c>
      <c r="I70" s="23"/>
      <c r="J70" s="5">
        <v>1</v>
      </c>
      <c r="K70" s="28">
        <v>0.02</v>
      </c>
      <c r="L70" s="28"/>
      <c r="M70" s="23" t="str">
        <f>IF(K70&gt;=E70,"OK","NOT OK")</f>
        <v>OK</v>
      </c>
      <c r="N70" s="23"/>
    </row>
    <row r="71" spans="2:14" x14ac:dyDescent="0.3">
      <c r="B71" s="26" t="s">
        <v>37</v>
      </c>
      <c r="C71" s="26"/>
      <c r="D71" s="4">
        <v>1.9940000000000001E-3</v>
      </c>
      <c r="E71" s="52">
        <f t="shared" ref="E71:E82" si="6">D71*H71/J71</f>
        <v>9.9699999999999997E-3</v>
      </c>
      <c r="F71" s="52"/>
      <c r="G71" s="52"/>
      <c r="H71" s="23">
        <v>5</v>
      </c>
      <c r="I71" s="23"/>
      <c r="J71" s="5">
        <v>1</v>
      </c>
      <c r="K71" s="28">
        <v>0.02</v>
      </c>
      <c r="L71" s="28"/>
      <c r="M71" s="23" t="str">
        <f t="shared" ref="M71:M82" si="7">IF(K71&gt;=E71,"OK","NOT OK")</f>
        <v>OK</v>
      </c>
      <c r="N71" s="23"/>
    </row>
    <row r="72" spans="2:14" x14ac:dyDescent="0.3">
      <c r="B72" s="26" t="s">
        <v>38</v>
      </c>
      <c r="C72" s="26"/>
      <c r="D72" s="4">
        <v>2.2290000000000001E-3</v>
      </c>
      <c r="E72" s="52">
        <f t="shared" si="6"/>
        <v>1.1145E-2</v>
      </c>
      <c r="F72" s="52"/>
      <c r="G72" s="52"/>
      <c r="H72" s="23">
        <v>5</v>
      </c>
      <c r="I72" s="23"/>
      <c r="J72" s="5">
        <v>1</v>
      </c>
      <c r="K72" s="28">
        <v>0.02</v>
      </c>
      <c r="L72" s="28"/>
      <c r="M72" s="23" t="str">
        <f t="shared" si="7"/>
        <v>OK</v>
      </c>
      <c r="N72" s="23"/>
    </row>
    <row r="73" spans="2:14" x14ac:dyDescent="0.3">
      <c r="B73" s="26" t="s">
        <v>39</v>
      </c>
      <c r="C73" s="26"/>
      <c r="D73" s="4">
        <v>2.4880000000000002E-3</v>
      </c>
      <c r="E73" s="52">
        <f t="shared" si="6"/>
        <v>1.2440000000000001E-2</v>
      </c>
      <c r="F73" s="52"/>
      <c r="G73" s="52"/>
      <c r="H73" s="23">
        <v>5</v>
      </c>
      <c r="I73" s="23"/>
      <c r="J73" s="5">
        <v>1</v>
      </c>
      <c r="K73" s="28">
        <v>0.02</v>
      </c>
      <c r="L73" s="28"/>
      <c r="M73" s="23" t="str">
        <f t="shared" si="7"/>
        <v>OK</v>
      </c>
      <c r="N73" s="23"/>
    </row>
    <row r="74" spans="2:14" x14ac:dyDescent="0.3">
      <c r="B74" s="26" t="s">
        <v>40</v>
      </c>
      <c r="C74" s="26"/>
      <c r="D74" s="4">
        <v>2.715E-3</v>
      </c>
      <c r="E74" s="52">
        <f t="shared" si="6"/>
        <v>1.3575E-2</v>
      </c>
      <c r="F74" s="52"/>
      <c r="G74" s="52"/>
      <c r="H74" s="23">
        <v>5</v>
      </c>
      <c r="I74" s="23"/>
      <c r="J74" s="5">
        <v>1</v>
      </c>
      <c r="K74" s="28">
        <v>0.02</v>
      </c>
      <c r="L74" s="28"/>
      <c r="M74" s="23" t="str">
        <f t="shared" si="7"/>
        <v>OK</v>
      </c>
      <c r="N74" s="23"/>
    </row>
    <row r="75" spans="2:14" x14ac:dyDescent="0.3">
      <c r="B75" s="26" t="s">
        <v>41</v>
      </c>
      <c r="C75" s="26"/>
      <c r="D75" s="4">
        <v>2.882E-3</v>
      </c>
      <c r="E75" s="52">
        <f t="shared" si="6"/>
        <v>1.4409999999999999E-2</v>
      </c>
      <c r="F75" s="52"/>
      <c r="G75" s="52"/>
      <c r="H75" s="23">
        <v>5</v>
      </c>
      <c r="I75" s="23"/>
      <c r="J75" s="5">
        <v>1</v>
      </c>
      <c r="K75" s="28">
        <v>0.02</v>
      </c>
      <c r="L75" s="28"/>
      <c r="M75" s="23" t="str">
        <f t="shared" si="7"/>
        <v>OK</v>
      </c>
      <c r="N75" s="23"/>
    </row>
    <row r="76" spans="2:14" x14ac:dyDescent="0.3">
      <c r="B76" s="26" t="s">
        <v>42</v>
      </c>
      <c r="C76" s="26"/>
      <c r="D76" s="4">
        <v>2.967E-3</v>
      </c>
      <c r="E76" s="52">
        <f t="shared" si="6"/>
        <v>1.4835000000000001E-2</v>
      </c>
      <c r="F76" s="52"/>
      <c r="G76" s="52"/>
      <c r="H76" s="23">
        <v>5</v>
      </c>
      <c r="I76" s="23"/>
      <c r="J76" s="5">
        <v>1</v>
      </c>
      <c r="K76" s="28">
        <v>0.02</v>
      </c>
      <c r="L76" s="28"/>
      <c r="M76" s="23" t="str">
        <f t="shared" si="7"/>
        <v>OK</v>
      </c>
      <c r="N76" s="23"/>
    </row>
    <row r="77" spans="2:14" x14ac:dyDescent="0.3">
      <c r="B77" s="26" t="s">
        <v>43</v>
      </c>
      <c r="C77" s="26"/>
      <c r="D77" s="4">
        <v>2.9489999999999998E-3</v>
      </c>
      <c r="E77" s="52">
        <f t="shared" si="6"/>
        <v>1.4744999999999999E-2</v>
      </c>
      <c r="F77" s="52"/>
      <c r="G77" s="52"/>
      <c r="H77" s="23">
        <v>5</v>
      </c>
      <c r="I77" s="23"/>
      <c r="J77" s="5">
        <v>1</v>
      </c>
      <c r="K77" s="28">
        <v>0.02</v>
      </c>
      <c r="L77" s="28"/>
      <c r="M77" s="23" t="str">
        <f t="shared" si="7"/>
        <v>OK</v>
      </c>
      <c r="N77" s="23"/>
    </row>
    <row r="78" spans="2:14" x14ac:dyDescent="0.3">
      <c r="B78" s="26" t="s">
        <v>44</v>
      </c>
      <c r="C78" s="26"/>
      <c r="D78" s="4">
        <v>2.8170000000000001E-3</v>
      </c>
      <c r="E78" s="52">
        <f t="shared" si="6"/>
        <v>1.4085E-2</v>
      </c>
      <c r="F78" s="52"/>
      <c r="G78" s="52"/>
      <c r="H78" s="23">
        <v>5</v>
      </c>
      <c r="I78" s="23"/>
      <c r="J78" s="5">
        <v>1</v>
      </c>
      <c r="K78" s="28">
        <v>0.02</v>
      </c>
      <c r="L78" s="28"/>
      <c r="M78" s="23" t="str">
        <f t="shared" si="7"/>
        <v>OK</v>
      </c>
      <c r="N78" s="23"/>
    </row>
    <row r="79" spans="2:14" x14ac:dyDescent="0.3">
      <c r="B79" s="26" t="s">
        <v>45</v>
      </c>
      <c r="C79" s="26"/>
      <c r="D79" s="4">
        <v>2.545E-3</v>
      </c>
      <c r="E79" s="52">
        <f t="shared" si="6"/>
        <v>1.2725E-2</v>
      </c>
      <c r="F79" s="52"/>
      <c r="G79" s="52"/>
      <c r="H79" s="23">
        <v>5</v>
      </c>
      <c r="I79" s="23"/>
      <c r="J79" s="5">
        <v>1</v>
      </c>
      <c r="K79" s="28">
        <v>0.02</v>
      </c>
      <c r="L79" s="28"/>
      <c r="M79" s="23" t="str">
        <f t="shared" si="7"/>
        <v>OK</v>
      </c>
      <c r="N79" s="23"/>
    </row>
    <row r="80" spans="2:14" x14ac:dyDescent="0.3">
      <c r="B80" s="26" t="s">
        <v>46</v>
      </c>
      <c r="C80" s="26"/>
      <c r="D80" s="4">
        <v>2.068E-3</v>
      </c>
      <c r="E80" s="52">
        <f t="shared" si="6"/>
        <v>1.034E-2</v>
      </c>
      <c r="F80" s="52"/>
      <c r="G80" s="52"/>
      <c r="H80" s="23">
        <v>5</v>
      </c>
      <c r="I80" s="23"/>
      <c r="J80" s="5">
        <v>1</v>
      </c>
      <c r="K80" s="28">
        <v>0.02</v>
      </c>
      <c r="L80" s="28"/>
      <c r="M80" s="23" t="str">
        <f t="shared" si="7"/>
        <v>OK</v>
      </c>
      <c r="N80" s="23"/>
    </row>
    <row r="81" spans="2:14" x14ac:dyDescent="0.3">
      <c r="B81" s="26" t="s">
        <v>47</v>
      </c>
      <c r="C81" s="26"/>
      <c r="D81" s="4">
        <v>1.4339999999999999E-3</v>
      </c>
      <c r="E81" s="52">
        <f t="shared" si="6"/>
        <v>7.1699999999999993E-3</v>
      </c>
      <c r="F81" s="52"/>
      <c r="G81" s="52"/>
      <c r="H81" s="23">
        <v>5</v>
      </c>
      <c r="I81" s="23"/>
      <c r="J81" s="5">
        <v>1</v>
      </c>
      <c r="K81" s="28">
        <v>0.02</v>
      </c>
      <c r="L81" s="28"/>
      <c r="M81" s="23" t="str">
        <f t="shared" si="7"/>
        <v>OK</v>
      </c>
      <c r="N81" s="23"/>
    </row>
    <row r="82" spans="2:14" x14ac:dyDescent="0.3">
      <c r="B82" s="26" t="s">
        <v>48</v>
      </c>
      <c r="C82" s="26"/>
      <c r="D82" s="9">
        <v>0</v>
      </c>
      <c r="E82" s="52">
        <f t="shared" si="6"/>
        <v>0</v>
      </c>
      <c r="F82" s="52"/>
      <c r="G82" s="52"/>
      <c r="H82" s="23">
        <v>5</v>
      </c>
      <c r="I82" s="23"/>
      <c r="J82" s="5">
        <v>1</v>
      </c>
      <c r="K82" s="28">
        <v>0.02</v>
      </c>
      <c r="L82" s="28"/>
      <c r="M82" s="23" t="str">
        <f t="shared" si="7"/>
        <v>OK</v>
      </c>
      <c r="N82" s="23"/>
    </row>
  </sheetData>
  <mergeCells count="293">
    <mergeCell ref="B2:H4"/>
    <mergeCell ref="B5:E5"/>
    <mergeCell ref="M7:N9"/>
    <mergeCell ref="B10:C10"/>
    <mergeCell ref="E10:G10"/>
    <mergeCell ref="H10:I10"/>
    <mergeCell ref="K10:L10"/>
    <mergeCell ref="M10:N10"/>
    <mergeCell ref="E7:G9"/>
    <mergeCell ref="H7:I9"/>
    <mergeCell ref="J7:J9"/>
    <mergeCell ref="K7:L9"/>
    <mergeCell ref="B7:C9"/>
    <mergeCell ref="D7:D9"/>
    <mergeCell ref="K11:L11"/>
    <mergeCell ref="M11:N11"/>
    <mergeCell ref="B12:C12"/>
    <mergeCell ref="E12:G12"/>
    <mergeCell ref="H12:I12"/>
    <mergeCell ref="K12:L12"/>
    <mergeCell ref="B11:C11"/>
    <mergeCell ref="E11:G11"/>
    <mergeCell ref="H11:I11"/>
    <mergeCell ref="M13:N13"/>
    <mergeCell ref="B14:C14"/>
    <mergeCell ref="E14:G14"/>
    <mergeCell ref="H14:I14"/>
    <mergeCell ref="K14:L14"/>
    <mergeCell ref="M14:N14"/>
    <mergeCell ref="M12:N12"/>
    <mergeCell ref="B13:C13"/>
    <mergeCell ref="E13:G13"/>
    <mergeCell ref="H13:I13"/>
    <mergeCell ref="K13:L13"/>
    <mergeCell ref="K15:L15"/>
    <mergeCell ref="M15:N15"/>
    <mergeCell ref="B16:C16"/>
    <mergeCell ref="E16:G16"/>
    <mergeCell ref="H16:I16"/>
    <mergeCell ref="K16:L16"/>
    <mergeCell ref="B15:C15"/>
    <mergeCell ref="E15:G15"/>
    <mergeCell ref="H15:I15"/>
    <mergeCell ref="M17:N17"/>
    <mergeCell ref="B18:C18"/>
    <mergeCell ref="E18:G18"/>
    <mergeCell ref="H18:I18"/>
    <mergeCell ref="K18:L18"/>
    <mergeCell ref="M18:N18"/>
    <mergeCell ref="M16:N16"/>
    <mergeCell ref="B17:C17"/>
    <mergeCell ref="E17:G17"/>
    <mergeCell ref="H17:I17"/>
    <mergeCell ref="K17:L17"/>
    <mergeCell ref="K19:L19"/>
    <mergeCell ref="M19:N19"/>
    <mergeCell ref="B20:C20"/>
    <mergeCell ref="E20:G20"/>
    <mergeCell ref="H20:I20"/>
    <mergeCell ref="K20:L20"/>
    <mergeCell ref="B19:C19"/>
    <mergeCell ref="E19:G19"/>
    <mergeCell ref="H19:I19"/>
    <mergeCell ref="M21:N21"/>
    <mergeCell ref="B22:C22"/>
    <mergeCell ref="E22:G22"/>
    <mergeCell ref="H22:I22"/>
    <mergeCell ref="K22:L22"/>
    <mergeCell ref="M22:N22"/>
    <mergeCell ref="M20:N20"/>
    <mergeCell ref="B21:C21"/>
    <mergeCell ref="E21:G21"/>
    <mergeCell ref="H21:I21"/>
    <mergeCell ref="K21:L21"/>
    <mergeCell ref="K27:L29"/>
    <mergeCell ref="M27:N29"/>
    <mergeCell ref="B30:C30"/>
    <mergeCell ref="E30:G30"/>
    <mergeCell ref="H30:I30"/>
    <mergeCell ref="K30:L30"/>
    <mergeCell ref="M30:N30"/>
    <mergeCell ref="B25:E25"/>
    <mergeCell ref="B27:C29"/>
    <mergeCell ref="D27:D29"/>
    <mergeCell ref="E27:G29"/>
    <mergeCell ref="H27:I29"/>
    <mergeCell ref="J27:J29"/>
    <mergeCell ref="B31:C31"/>
    <mergeCell ref="E31:G31"/>
    <mergeCell ref="H31:I31"/>
    <mergeCell ref="K31:L31"/>
    <mergeCell ref="M31:N31"/>
    <mergeCell ref="B32:C32"/>
    <mergeCell ref="E32:G32"/>
    <mergeCell ref="H32:I32"/>
    <mergeCell ref="K32:L32"/>
    <mergeCell ref="M32:N32"/>
    <mergeCell ref="B33:C33"/>
    <mergeCell ref="E33:G33"/>
    <mergeCell ref="H33:I33"/>
    <mergeCell ref="K33:L33"/>
    <mergeCell ref="M33:N33"/>
    <mergeCell ref="B34:C34"/>
    <mergeCell ref="E34:G34"/>
    <mergeCell ref="H34:I34"/>
    <mergeCell ref="K34:L34"/>
    <mergeCell ref="M34:N34"/>
    <mergeCell ref="B35:C35"/>
    <mergeCell ref="E35:G35"/>
    <mergeCell ref="H35:I35"/>
    <mergeCell ref="K35:L35"/>
    <mergeCell ref="M35:N35"/>
    <mergeCell ref="B36:C36"/>
    <mergeCell ref="E36:G36"/>
    <mergeCell ref="H36:I36"/>
    <mergeCell ref="K36:L36"/>
    <mergeCell ref="M36:N36"/>
    <mergeCell ref="B37:C37"/>
    <mergeCell ref="E37:G37"/>
    <mergeCell ref="H37:I37"/>
    <mergeCell ref="K37:L37"/>
    <mergeCell ref="M37:N37"/>
    <mergeCell ref="B38:C38"/>
    <mergeCell ref="E38:G38"/>
    <mergeCell ref="H38:I38"/>
    <mergeCell ref="K38:L38"/>
    <mergeCell ref="M38:N38"/>
    <mergeCell ref="B39:C39"/>
    <mergeCell ref="E39:G39"/>
    <mergeCell ref="H39:I39"/>
    <mergeCell ref="K39:L39"/>
    <mergeCell ref="M39:N39"/>
    <mergeCell ref="B40:C40"/>
    <mergeCell ref="E40:G40"/>
    <mergeCell ref="H40:I40"/>
    <mergeCell ref="K40:L40"/>
    <mergeCell ref="M40:N40"/>
    <mergeCell ref="B41:C41"/>
    <mergeCell ref="E41:G41"/>
    <mergeCell ref="H41:I41"/>
    <mergeCell ref="K41:L41"/>
    <mergeCell ref="M41:N41"/>
    <mergeCell ref="B42:C42"/>
    <mergeCell ref="E42:G42"/>
    <mergeCell ref="H42:I42"/>
    <mergeCell ref="K42:L42"/>
    <mergeCell ref="M42:N42"/>
    <mergeCell ref="K47:L49"/>
    <mergeCell ref="M47:N49"/>
    <mergeCell ref="B50:C50"/>
    <mergeCell ref="E50:G50"/>
    <mergeCell ref="H50:I50"/>
    <mergeCell ref="K50:L50"/>
    <mergeCell ref="M50:N50"/>
    <mergeCell ref="B45:E45"/>
    <mergeCell ref="B47:C49"/>
    <mergeCell ref="D47:D49"/>
    <mergeCell ref="E47:G49"/>
    <mergeCell ref="H47:I49"/>
    <mergeCell ref="J47:J49"/>
    <mergeCell ref="B51:C51"/>
    <mergeCell ref="E51:G51"/>
    <mergeCell ref="H51:I51"/>
    <mergeCell ref="K51:L51"/>
    <mergeCell ref="M51:N51"/>
    <mergeCell ref="B52:C52"/>
    <mergeCell ref="E52:G52"/>
    <mergeCell ref="H52:I52"/>
    <mergeCell ref="K52:L52"/>
    <mergeCell ref="M52:N52"/>
    <mergeCell ref="B53:C53"/>
    <mergeCell ref="E53:G53"/>
    <mergeCell ref="H53:I53"/>
    <mergeCell ref="K53:L53"/>
    <mergeCell ref="M53:N53"/>
    <mergeCell ref="B54:C54"/>
    <mergeCell ref="E54:G54"/>
    <mergeCell ref="H54:I54"/>
    <mergeCell ref="K54:L54"/>
    <mergeCell ref="M54:N54"/>
    <mergeCell ref="B55:C55"/>
    <mergeCell ref="E55:G55"/>
    <mergeCell ref="H55:I55"/>
    <mergeCell ref="K55:L55"/>
    <mergeCell ref="M55:N55"/>
    <mergeCell ref="B56:C56"/>
    <mergeCell ref="E56:G56"/>
    <mergeCell ref="H56:I56"/>
    <mergeCell ref="K56:L56"/>
    <mergeCell ref="M56:N56"/>
    <mergeCell ref="B57:C57"/>
    <mergeCell ref="E57:G57"/>
    <mergeCell ref="H57:I57"/>
    <mergeCell ref="K57:L57"/>
    <mergeCell ref="M57:N57"/>
    <mergeCell ref="B58:C58"/>
    <mergeCell ref="E58:G58"/>
    <mergeCell ref="H58:I58"/>
    <mergeCell ref="K58:L58"/>
    <mergeCell ref="M58:N58"/>
    <mergeCell ref="B59:C59"/>
    <mergeCell ref="E59:G59"/>
    <mergeCell ref="H59:I59"/>
    <mergeCell ref="K59:L59"/>
    <mergeCell ref="M59:N59"/>
    <mergeCell ref="B60:C60"/>
    <mergeCell ref="E60:G60"/>
    <mergeCell ref="H60:I60"/>
    <mergeCell ref="K60:L60"/>
    <mergeCell ref="M60:N60"/>
    <mergeCell ref="B61:C61"/>
    <mergeCell ref="E61:G61"/>
    <mergeCell ref="H61:I61"/>
    <mergeCell ref="K61:L61"/>
    <mergeCell ref="M61:N61"/>
    <mergeCell ref="B62:C62"/>
    <mergeCell ref="E62:G62"/>
    <mergeCell ref="H62:I62"/>
    <mergeCell ref="K62:L62"/>
    <mergeCell ref="M62:N62"/>
    <mergeCell ref="K67:L69"/>
    <mergeCell ref="M67:N69"/>
    <mergeCell ref="B70:C70"/>
    <mergeCell ref="E70:G70"/>
    <mergeCell ref="H70:I70"/>
    <mergeCell ref="K70:L70"/>
    <mergeCell ref="M70:N70"/>
    <mergeCell ref="B65:E65"/>
    <mergeCell ref="B67:C69"/>
    <mergeCell ref="D67:D69"/>
    <mergeCell ref="E67:G69"/>
    <mergeCell ref="H67:I69"/>
    <mergeCell ref="J67:J69"/>
    <mergeCell ref="B71:C71"/>
    <mergeCell ref="E71:G71"/>
    <mergeCell ref="H71:I71"/>
    <mergeCell ref="K71:L71"/>
    <mergeCell ref="M71:N71"/>
    <mergeCell ref="B72:C72"/>
    <mergeCell ref="E72:G72"/>
    <mergeCell ref="H72:I72"/>
    <mergeCell ref="K72:L72"/>
    <mergeCell ref="M72:N72"/>
    <mergeCell ref="B73:C73"/>
    <mergeCell ref="E73:G73"/>
    <mergeCell ref="H73:I73"/>
    <mergeCell ref="K73:L73"/>
    <mergeCell ref="M73:N73"/>
    <mergeCell ref="B74:C74"/>
    <mergeCell ref="E74:G74"/>
    <mergeCell ref="H74:I74"/>
    <mergeCell ref="K74:L74"/>
    <mergeCell ref="M74:N74"/>
    <mergeCell ref="B75:C75"/>
    <mergeCell ref="E75:G75"/>
    <mergeCell ref="H75:I75"/>
    <mergeCell ref="K75:L75"/>
    <mergeCell ref="M75:N75"/>
    <mergeCell ref="B76:C76"/>
    <mergeCell ref="E76:G76"/>
    <mergeCell ref="H76:I76"/>
    <mergeCell ref="K76:L76"/>
    <mergeCell ref="M76:N76"/>
    <mergeCell ref="B77:C77"/>
    <mergeCell ref="E77:G77"/>
    <mergeCell ref="H77:I77"/>
    <mergeCell ref="K77:L77"/>
    <mergeCell ref="M77:N77"/>
    <mergeCell ref="B78:C78"/>
    <mergeCell ref="E78:G78"/>
    <mergeCell ref="H78:I78"/>
    <mergeCell ref="K78:L78"/>
    <mergeCell ref="M78:N78"/>
    <mergeCell ref="B79:C79"/>
    <mergeCell ref="E79:G79"/>
    <mergeCell ref="H79:I79"/>
    <mergeCell ref="K79:L79"/>
    <mergeCell ref="M79:N79"/>
    <mergeCell ref="B80:C80"/>
    <mergeCell ref="E80:G80"/>
    <mergeCell ref="H80:I80"/>
    <mergeCell ref="K80:L80"/>
    <mergeCell ref="M80:N80"/>
    <mergeCell ref="B81:C81"/>
    <mergeCell ref="E81:G81"/>
    <mergeCell ref="H81:I81"/>
    <mergeCell ref="K81:L81"/>
    <mergeCell ref="M81:N81"/>
    <mergeCell ref="B82:C82"/>
    <mergeCell ref="E82:G82"/>
    <mergeCell ref="H82:I82"/>
    <mergeCell ref="K82:L82"/>
    <mergeCell ref="M82:N82"/>
  </mergeCells>
  <pageMargins left="0.7" right="0.7" top="0.75" bottom="0.75" header="0.3" footer="0.3"/>
  <pageSetup orientation="portrait" horizontalDpi="200" verticalDpi="20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CE83-FAB2-437E-BE6A-D160CA114076}">
  <dimension ref="B2:T44"/>
  <sheetViews>
    <sheetView workbookViewId="0">
      <selection activeCell="N24" sqref="N24"/>
    </sheetView>
  </sheetViews>
  <sheetFormatPr defaultRowHeight="14.4" x14ac:dyDescent="0.3"/>
  <cols>
    <col min="2" max="4" width="8.77734375" customWidth="1"/>
    <col min="6" max="6" width="9.5546875" bestFit="1" customWidth="1"/>
  </cols>
  <sheetData>
    <row r="2" spans="2:20" x14ac:dyDescent="0.3">
      <c r="B2" s="24" t="s">
        <v>70</v>
      </c>
      <c r="C2" s="24"/>
      <c r="D2" s="24"/>
      <c r="E2" s="20"/>
      <c r="F2" s="20"/>
      <c r="G2" s="20"/>
      <c r="H2" s="20"/>
      <c r="I2" s="20"/>
    </row>
    <row r="3" spans="2:20" x14ac:dyDescent="0.3">
      <c r="B3" s="20"/>
      <c r="C3" s="20"/>
      <c r="D3" s="20"/>
      <c r="E3" s="20"/>
      <c r="F3" s="20"/>
      <c r="G3" s="20"/>
      <c r="H3" s="20"/>
      <c r="I3" s="20"/>
    </row>
    <row r="4" spans="2:20" x14ac:dyDescent="0.3">
      <c r="B4" s="20"/>
      <c r="C4" s="20"/>
      <c r="D4" s="20"/>
      <c r="E4" s="20"/>
      <c r="F4" s="20"/>
      <c r="G4" s="20"/>
      <c r="H4" s="20"/>
      <c r="I4" s="20"/>
    </row>
    <row r="5" spans="2:20" x14ac:dyDescent="0.3">
      <c r="B5" s="61" t="s">
        <v>49</v>
      </c>
      <c r="C5" s="61"/>
      <c r="D5" s="61"/>
      <c r="E5" s="61"/>
      <c r="F5" s="61"/>
      <c r="G5" s="1"/>
      <c r="H5" s="1"/>
      <c r="I5" s="1"/>
    </row>
    <row r="6" spans="2:20" x14ac:dyDescent="0.3">
      <c r="B6" s="20" t="s">
        <v>59</v>
      </c>
      <c r="C6" s="20"/>
      <c r="D6" s="20"/>
      <c r="E6" s="59" t="s">
        <v>63</v>
      </c>
      <c r="F6" s="59"/>
      <c r="G6" s="59"/>
      <c r="H6" s="59"/>
      <c r="I6" s="59"/>
      <c r="J6" s="59"/>
      <c r="K6" s="59"/>
      <c r="L6" s="59"/>
      <c r="M6" s="59"/>
      <c r="N6" s="59"/>
      <c r="O6" s="23" t="s">
        <v>66</v>
      </c>
      <c r="P6" s="23"/>
      <c r="Q6" s="23"/>
      <c r="R6" s="23"/>
      <c r="S6" s="23"/>
      <c r="T6" s="23"/>
    </row>
    <row r="7" spans="2:20" ht="14.4" customHeight="1" x14ac:dyDescent="0.3">
      <c r="B7" s="20"/>
      <c r="C7" s="20"/>
      <c r="D7" s="20"/>
      <c r="E7" s="20" t="s">
        <v>69</v>
      </c>
      <c r="F7" s="26" t="s">
        <v>60</v>
      </c>
      <c r="G7" s="23" t="s">
        <v>21</v>
      </c>
      <c r="H7" s="23"/>
      <c r="I7" s="27" t="s">
        <v>61</v>
      </c>
      <c r="J7" s="27"/>
      <c r="K7" s="27" t="s">
        <v>62</v>
      </c>
      <c r="L7" s="27"/>
      <c r="M7" s="23" t="s">
        <v>21</v>
      </c>
      <c r="N7" s="23"/>
      <c r="O7" s="27" t="s">
        <v>64</v>
      </c>
      <c r="P7" s="23" t="s">
        <v>21</v>
      </c>
      <c r="Q7" s="27" t="s">
        <v>65</v>
      </c>
      <c r="R7" s="27"/>
      <c r="S7" s="23" t="s">
        <v>21</v>
      </c>
      <c r="T7" s="23"/>
    </row>
    <row r="8" spans="2:20" x14ac:dyDescent="0.3">
      <c r="B8" s="20"/>
      <c r="C8" s="20"/>
      <c r="D8" s="20"/>
      <c r="E8" s="20"/>
      <c r="F8" s="26"/>
      <c r="G8" s="23"/>
      <c r="H8" s="23"/>
      <c r="I8" s="27"/>
      <c r="J8" s="27"/>
      <c r="K8" s="27"/>
      <c r="L8" s="27"/>
      <c r="M8" s="23"/>
      <c r="N8" s="23"/>
      <c r="O8" s="27"/>
      <c r="P8" s="23"/>
      <c r="Q8" s="27"/>
      <c r="R8" s="27"/>
      <c r="S8" s="23"/>
      <c r="T8" s="23"/>
    </row>
    <row r="9" spans="2:20" ht="21" customHeight="1" x14ac:dyDescent="0.3">
      <c r="B9" s="26" t="s">
        <v>36</v>
      </c>
      <c r="C9" s="26"/>
      <c r="D9" s="26"/>
      <c r="E9" s="4">
        <v>89.397999999999996</v>
      </c>
      <c r="F9" s="6">
        <f>0.7*E9</f>
        <v>62.578599999999994</v>
      </c>
      <c r="G9" s="23"/>
      <c r="H9" s="23"/>
      <c r="I9" s="23">
        <v>0</v>
      </c>
      <c r="J9" s="23"/>
      <c r="K9" s="23">
        <f>0.8*I9</f>
        <v>0</v>
      </c>
      <c r="L9" s="23"/>
      <c r="M9" s="23"/>
      <c r="N9" s="23"/>
      <c r="O9" s="10">
        <f>0.6*E9</f>
        <v>53.638799999999996</v>
      </c>
      <c r="P9" s="10"/>
      <c r="Q9" s="23">
        <v>0</v>
      </c>
      <c r="R9" s="23"/>
      <c r="S9" s="23"/>
      <c r="T9" s="23"/>
    </row>
    <row r="10" spans="2:20" x14ac:dyDescent="0.3">
      <c r="B10" s="26" t="s">
        <v>37</v>
      </c>
      <c r="C10" s="26"/>
      <c r="D10" s="26"/>
      <c r="E10" s="4">
        <v>1029.471</v>
      </c>
      <c r="F10" s="6">
        <f t="shared" ref="F10:F21" si="0">0.7*E10</f>
        <v>720.62969999999996</v>
      </c>
      <c r="G10" s="23" t="str">
        <f>IF(E10&gt;F9,"OK","NOT OK")</f>
        <v>OK</v>
      </c>
      <c r="H10" s="23"/>
      <c r="I10" s="23">
        <v>0</v>
      </c>
      <c r="J10" s="23"/>
      <c r="K10" s="23">
        <f t="shared" ref="K10:K23" si="1">0.8*I10</f>
        <v>0</v>
      </c>
      <c r="L10" s="23"/>
      <c r="M10" s="23"/>
      <c r="N10" s="23"/>
      <c r="O10" s="10">
        <f t="shared" ref="O10:O21" si="2">0.6*E10</f>
        <v>617.68259999999998</v>
      </c>
      <c r="P10" s="10" t="str">
        <f>IF(E10&gt;O9,"OK","NOT OK")</f>
        <v>OK</v>
      </c>
      <c r="Q10" s="23">
        <v>0</v>
      </c>
      <c r="R10" s="23"/>
      <c r="S10" s="23"/>
      <c r="T10" s="23"/>
    </row>
    <row r="11" spans="2:20" x14ac:dyDescent="0.3">
      <c r="B11" s="26" t="s">
        <v>38</v>
      </c>
      <c r="C11" s="26"/>
      <c r="D11" s="26"/>
      <c r="E11" s="4">
        <v>1919.5521000000001</v>
      </c>
      <c r="F11" s="6">
        <f t="shared" si="0"/>
        <v>1343.6864700000001</v>
      </c>
      <c r="G11" s="23" t="str">
        <f t="shared" ref="G11:G20" si="3">IF(E11&gt;F10,"OK","NOT OK")</f>
        <v>OK</v>
      </c>
      <c r="H11" s="23"/>
      <c r="I11" s="23">
        <f>AVERAGE(F9:F11)</f>
        <v>708.96492333333333</v>
      </c>
      <c r="J11" s="23"/>
      <c r="K11" s="23">
        <f t="shared" si="1"/>
        <v>567.17193866666673</v>
      </c>
      <c r="L11" s="23"/>
      <c r="M11" s="23"/>
      <c r="N11" s="23"/>
      <c r="O11" s="10">
        <f t="shared" si="2"/>
        <v>1151.73126</v>
      </c>
      <c r="P11" s="10" t="str">
        <f t="shared" ref="P11:P20" si="4">IF(E11&gt;O10,"OK","NOT OK")</f>
        <v>OK</v>
      </c>
      <c r="Q11" s="23">
        <f>AVERAGE(O9:O11)*0.7</f>
        <v>425.37895399999996</v>
      </c>
      <c r="R11" s="23"/>
      <c r="S11" s="23"/>
      <c r="T11" s="23"/>
    </row>
    <row r="12" spans="2:20" x14ac:dyDescent="0.3">
      <c r="B12" s="26" t="s">
        <v>39</v>
      </c>
      <c r="C12" s="26"/>
      <c r="D12" s="26"/>
      <c r="E12" s="4">
        <v>2466.5382</v>
      </c>
      <c r="F12" s="6">
        <f t="shared" si="0"/>
        <v>1726.57674</v>
      </c>
      <c r="G12" s="23" t="str">
        <f t="shared" si="3"/>
        <v>OK</v>
      </c>
      <c r="H12" s="23"/>
      <c r="I12" s="23">
        <f t="shared" ref="I12:I23" si="5">AVERAGE(F10:F12)</f>
        <v>1263.6309699999999</v>
      </c>
      <c r="J12" s="23"/>
      <c r="K12" s="23">
        <f t="shared" si="1"/>
        <v>1010.904776</v>
      </c>
      <c r="L12" s="23"/>
      <c r="M12" s="23" t="str">
        <f>IF(E12&gt;K11,"OK","NOT OK")</f>
        <v>OK</v>
      </c>
      <c r="N12" s="23"/>
      <c r="O12" s="10">
        <f t="shared" si="2"/>
        <v>1479.92292</v>
      </c>
      <c r="P12" s="10" t="str">
        <f t="shared" si="4"/>
        <v>OK</v>
      </c>
      <c r="Q12" s="23">
        <f t="shared" ref="Q12:Q23" si="6">AVERAGE(O10:O12)*0.7</f>
        <v>758.17858200000001</v>
      </c>
      <c r="R12" s="23"/>
      <c r="S12" s="23" t="str">
        <f>IF(E12&gt;Q11,"OK","NOT OK")</f>
        <v>OK</v>
      </c>
      <c r="T12" s="23"/>
    </row>
    <row r="13" spans="2:20" x14ac:dyDescent="0.3">
      <c r="B13" s="26" t="s">
        <v>40</v>
      </c>
      <c r="C13" s="26"/>
      <c r="D13" s="26"/>
      <c r="E13" s="4">
        <v>2813.5542</v>
      </c>
      <c r="F13" s="6">
        <f t="shared" si="0"/>
        <v>1969.48794</v>
      </c>
      <c r="G13" s="23" t="str">
        <f t="shared" si="3"/>
        <v>OK</v>
      </c>
      <c r="H13" s="23"/>
      <c r="I13" s="23">
        <f t="shared" si="5"/>
        <v>1679.91705</v>
      </c>
      <c r="J13" s="23"/>
      <c r="K13" s="23">
        <f t="shared" si="1"/>
        <v>1343.9336400000002</v>
      </c>
      <c r="L13" s="23"/>
      <c r="M13" s="23" t="str">
        <f t="shared" ref="M13:M21" si="7">IF(E13&gt;K12,"OK","NOT OK")</f>
        <v>OK</v>
      </c>
      <c r="N13" s="23"/>
      <c r="O13" s="10">
        <f t="shared" si="2"/>
        <v>1688.1325199999999</v>
      </c>
      <c r="P13" s="10" t="str">
        <f t="shared" si="4"/>
        <v>OK</v>
      </c>
      <c r="Q13" s="23">
        <f t="shared" si="6"/>
        <v>1007.9502299999998</v>
      </c>
      <c r="R13" s="23"/>
      <c r="S13" s="23" t="str">
        <f t="shared" ref="S13:S21" si="8">IF(E13&gt;Q12,"OK","NOT OK")</f>
        <v>OK</v>
      </c>
      <c r="T13" s="23"/>
    </row>
    <row r="14" spans="2:20" x14ac:dyDescent="0.3">
      <c r="B14" s="26" t="s">
        <v>41</v>
      </c>
      <c r="C14" s="26"/>
      <c r="D14" s="26"/>
      <c r="E14" s="4">
        <v>3092.7476999999999</v>
      </c>
      <c r="F14" s="6">
        <f t="shared" si="0"/>
        <v>2164.9233899999999</v>
      </c>
      <c r="G14" s="23" t="str">
        <f t="shared" si="3"/>
        <v>OK</v>
      </c>
      <c r="H14" s="23"/>
      <c r="I14" s="23">
        <f t="shared" si="5"/>
        <v>1953.6626899999999</v>
      </c>
      <c r="J14" s="23"/>
      <c r="K14" s="23">
        <f t="shared" si="1"/>
        <v>1562.9301519999999</v>
      </c>
      <c r="L14" s="23"/>
      <c r="M14" s="23" t="str">
        <f t="shared" si="7"/>
        <v>OK</v>
      </c>
      <c r="N14" s="23"/>
      <c r="O14" s="10">
        <f t="shared" si="2"/>
        <v>1855.6486199999999</v>
      </c>
      <c r="P14" s="10" t="str">
        <f t="shared" si="4"/>
        <v>OK</v>
      </c>
      <c r="Q14" s="23">
        <f t="shared" si="6"/>
        <v>1172.1976139999999</v>
      </c>
      <c r="R14" s="23"/>
      <c r="S14" s="23" t="str">
        <f t="shared" si="8"/>
        <v>OK</v>
      </c>
      <c r="T14" s="23"/>
    </row>
    <row r="15" spans="2:20" x14ac:dyDescent="0.3">
      <c r="B15" s="26" t="s">
        <v>42</v>
      </c>
      <c r="C15" s="26"/>
      <c r="D15" s="26"/>
      <c r="E15" s="4">
        <v>3304.7395999999999</v>
      </c>
      <c r="F15" s="6">
        <f t="shared" si="0"/>
        <v>2313.3177199999996</v>
      </c>
      <c r="G15" s="23" t="str">
        <f t="shared" si="3"/>
        <v>OK</v>
      </c>
      <c r="H15" s="23"/>
      <c r="I15" s="23">
        <f t="shared" si="5"/>
        <v>2149.2430166666668</v>
      </c>
      <c r="J15" s="23"/>
      <c r="K15" s="23">
        <f t="shared" si="1"/>
        <v>1719.3944133333334</v>
      </c>
      <c r="L15" s="23"/>
      <c r="M15" s="23" t="str">
        <f t="shared" si="7"/>
        <v>OK</v>
      </c>
      <c r="N15" s="23"/>
      <c r="O15" s="10">
        <f t="shared" si="2"/>
        <v>1982.8437599999997</v>
      </c>
      <c r="P15" s="10" t="str">
        <f t="shared" si="4"/>
        <v>OK</v>
      </c>
      <c r="Q15" s="23">
        <f t="shared" si="6"/>
        <v>1289.5458099999998</v>
      </c>
      <c r="R15" s="23"/>
      <c r="S15" s="23" t="str">
        <f t="shared" si="8"/>
        <v>OK</v>
      </c>
      <c r="T15" s="23"/>
    </row>
    <row r="16" spans="2:20" x14ac:dyDescent="0.3">
      <c r="B16" s="26" t="s">
        <v>43</v>
      </c>
      <c r="C16" s="26"/>
      <c r="D16" s="26"/>
      <c r="E16" s="4">
        <v>3496.5981999999999</v>
      </c>
      <c r="F16" s="6">
        <f t="shared" si="0"/>
        <v>2447.6187399999999</v>
      </c>
      <c r="G16" s="23" t="str">
        <f t="shared" si="3"/>
        <v>OK</v>
      </c>
      <c r="H16" s="23"/>
      <c r="I16" s="23">
        <f t="shared" si="5"/>
        <v>2308.6199499999998</v>
      </c>
      <c r="J16" s="23"/>
      <c r="K16" s="23">
        <f t="shared" si="1"/>
        <v>1846.8959599999998</v>
      </c>
      <c r="L16" s="23"/>
      <c r="M16" s="23" t="str">
        <f t="shared" si="7"/>
        <v>OK</v>
      </c>
      <c r="N16" s="23"/>
      <c r="O16" s="10">
        <f t="shared" si="2"/>
        <v>2097.95892</v>
      </c>
      <c r="P16" s="10" t="str">
        <f t="shared" si="4"/>
        <v>OK</v>
      </c>
      <c r="Q16" s="23">
        <f t="shared" si="6"/>
        <v>1385.1719699999999</v>
      </c>
      <c r="R16" s="23"/>
      <c r="S16" s="23" t="str">
        <f t="shared" si="8"/>
        <v>OK</v>
      </c>
      <c r="T16" s="23"/>
    </row>
    <row r="17" spans="2:20" x14ac:dyDescent="0.3">
      <c r="B17" s="26" t="s">
        <v>44</v>
      </c>
      <c r="C17" s="26"/>
      <c r="D17" s="26"/>
      <c r="E17" s="4">
        <v>3822.2013000000002</v>
      </c>
      <c r="F17" s="6">
        <f t="shared" si="0"/>
        <v>2675.5409100000002</v>
      </c>
      <c r="G17" s="23" t="str">
        <f t="shared" si="3"/>
        <v>OK</v>
      </c>
      <c r="H17" s="23"/>
      <c r="I17" s="23">
        <f t="shared" si="5"/>
        <v>2478.8257899999994</v>
      </c>
      <c r="J17" s="23"/>
      <c r="K17" s="23">
        <f t="shared" si="1"/>
        <v>1983.0606319999997</v>
      </c>
      <c r="L17" s="23"/>
      <c r="M17" s="23" t="str">
        <f t="shared" si="7"/>
        <v>OK</v>
      </c>
      <c r="N17" s="23"/>
      <c r="O17" s="10">
        <f t="shared" si="2"/>
        <v>2293.32078</v>
      </c>
      <c r="P17" s="10" t="str">
        <f t="shared" si="4"/>
        <v>OK</v>
      </c>
      <c r="Q17" s="23">
        <f t="shared" si="6"/>
        <v>1487.295474</v>
      </c>
      <c r="R17" s="23"/>
      <c r="S17" s="23" t="str">
        <f t="shared" si="8"/>
        <v>OK</v>
      </c>
      <c r="T17" s="23"/>
    </row>
    <row r="18" spans="2:20" x14ac:dyDescent="0.3">
      <c r="B18" s="26" t="s">
        <v>45</v>
      </c>
      <c r="C18" s="26"/>
      <c r="D18" s="26"/>
      <c r="E18" s="4">
        <v>4764.7093999999997</v>
      </c>
      <c r="F18" s="6">
        <f t="shared" si="0"/>
        <v>3335.2965799999997</v>
      </c>
      <c r="G18" s="23" t="str">
        <f t="shared" si="3"/>
        <v>OK</v>
      </c>
      <c r="H18" s="23"/>
      <c r="I18" s="23">
        <f t="shared" si="5"/>
        <v>2819.4854099999998</v>
      </c>
      <c r="J18" s="23"/>
      <c r="K18" s="23">
        <f t="shared" si="1"/>
        <v>2255.5883279999998</v>
      </c>
      <c r="L18" s="23"/>
      <c r="M18" s="23" t="str">
        <f t="shared" si="7"/>
        <v>OK</v>
      </c>
      <c r="N18" s="23"/>
      <c r="O18" s="10">
        <f t="shared" si="2"/>
        <v>2858.8256399999996</v>
      </c>
      <c r="P18" s="10" t="str">
        <f t="shared" si="4"/>
        <v>OK</v>
      </c>
      <c r="Q18" s="23">
        <f t="shared" si="6"/>
        <v>1691.6912459999999</v>
      </c>
      <c r="R18" s="23"/>
      <c r="S18" s="23" t="str">
        <f t="shared" si="8"/>
        <v>OK</v>
      </c>
      <c r="T18" s="23"/>
    </row>
    <row r="19" spans="2:20" x14ac:dyDescent="0.3">
      <c r="B19" s="26" t="s">
        <v>46</v>
      </c>
      <c r="C19" s="26"/>
      <c r="D19" s="26"/>
      <c r="E19" s="4">
        <v>5891.5409</v>
      </c>
      <c r="F19" s="6">
        <f t="shared" si="0"/>
        <v>4124.07863</v>
      </c>
      <c r="G19" s="23" t="str">
        <f t="shared" si="3"/>
        <v>OK</v>
      </c>
      <c r="H19" s="23"/>
      <c r="I19" s="23">
        <f t="shared" si="5"/>
        <v>3378.3053733333331</v>
      </c>
      <c r="J19" s="23"/>
      <c r="K19" s="23">
        <f t="shared" si="1"/>
        <v>2702.6442986666666</v>
      </c>
      <c r="L19" s="23"/>
      <c r="M19" s="23" t="str">
        <f t="shared" si="7"/>
        <v>OK</v>
      </c>
      <c r="N19" s="23"/>
      <c r="O19" s="10">
        <f t="shared" si="2"/>
        <v>3534.92454</v>
      </c>
      <c r="P19" s="10" t="str">
        <f t="shared" si="4"/>
        <v>OK</v>
      </c>
      <c r="Q19" s="23">
        <f t="shared" si="6"/>
        <v>2026.9832239999996</v>
      </c>
      <c r="R19" s="23"/>
      <c r="S19" s="23" t="str">
        <f t="shared" si="8"/>
        <v>OK</v>
      </c>
      <c r="T19" s="23"/>
    </row>
    <row r="20" spans="2:20" ht="17.399999999999999" customHeight="1" x14ac:dyDescent="0.3">
      <c r="B20" s="26" t="s">
        <v>67</v>
      </c>
      <c r="C20" s="26"/>
      <c r="D20" s="26"/>
      <c r="E20" s="4">
        <v>12798.4907</v>
      </c>
      <c r="F20" s="6">
        <f t="shared" si="0"/>
        <v>8958.9434899999997</v>
      </c>
      <c r="G20" s="23" t="str">
        <f t="shared" si="3"/>
        <v>OK</v>
      </c>
      <c r="H20" s="23"/>
      <c r="I20" s="23">
        <f t="shared" si="5"/>
        <v>5472.7728999999999</v>
      </c>
      <c r="J20" s="23"/>
      <c r="K20" s="23">
        <f t="shared" si="1"/>
        <v>4378.2183199999999</v>
      </c>
      <c r="L20" s="23"/>
      <c r="M20" s="23" t="str">
        <f t="shared" si="7"/>
        <v>OK</v>
      </c>
      <c r="N20" s="23"/>
      <c r="O20" s="10">
        <f t="shared" si="2"/>
        <v>7679.0944199999994</v>
      </c>
      <c r="P20" s="10" t="str">
        <f t="shared" si="4"/>
        <v>OK</v>
      </c>
      <c r="Q20" s="23">
        <f t="shared" si="6"/>
        <v>3283.6637399999995</v>
      </c>
      <c r="R20" s="23"/>
      <c r="S20" s="23" t="str">
        <f t="shared" si="8"/>
        <v>OK</v>
      </c>
      <c r="T20" s="23"/>
    </row>
    <row r="21" spans="2:20" x14ac:dyDescent="0.3">
      <c r="B21" s="23" t="s">
        <v>68</v>
      </c>
      <c r="C21" s="23"/>
      <c r="D21" s="23"/>
      <c r="E21" s="6">
        <v>0</v>
      </c>
      <c r="F21" s="6">
        <f t="shared" si="0"/>
        <v>0</v>
      </c>
      <c r="G21" s="23" t="s">
        <v>51</v>
      </c>
      <c r="H21" s="23"/>
      <c r="I21" s="23">
        <f t="shared" si="5"/>
        <v>4361.0073733333329</v>
      </c>
      <c r="J21" s="23"/>
      <c r="K21" s="23">
        <f t="shared" si="1"/>
        <v>3488.8058986666665</v>
      </c>
      <c r="L21" s="23"/>
      <c r="M21" s="23" t="str">
        <f t="shared" si="7"/>
        <v>NOT OK</v>
      </c>
      <c r="N21" s="23"/>
      <c r="O21" s="10">
        <f t="shared" si="2"/>
        <v>0</v>
      </c>
      <c r="P21" s="10" t="s">
        <v>51</v>
      </c>
      <c r="Q21" s="23">
        <f t="shared" si="6"/>
        <v>2616.6044239999997</v>
      </c>
      <c r="R21" s="23"/>
      <c r="S21" s="23" t="str">
        <f t="shared" si="8"/>
        <v>NOT OK</v>
      </c>
      <c r="T21" s="23"/>
    </row>
    <row r="22" spans="2:20" x14ac:dyDescent="0.3">
      <c r="B22" s="53"/>
      <c r="C22" s="54"/>
      <c r="D22" s="55"/>
      <c r="E22" s="10"/>
      <c r="F22" s="10"/>
      <c r="G22" s="10"/>
      <c r="H22" s="10"/>
      <c r="I22" s="23">
        <f>AVERAGE(F20:F22)</f>
        <v>4479.4717449999998</v>
      </c>
      <c r="J22" s="23"/>
      <c r="K22" s="23">
        <f t="shared" si="1"/>
        <v>3583.5773960000001</v>
      </c>
      <c r="L22" s="23"/>
      <c r="M22" s="23"/>
      <c r="N22" s="23"/>
      <c r="O22" s="10"/>
      <c r="P22" s="10"/>
      <c r="Q22" s="23">
        <f t="shared" si="6"/>
        <v>2687.6830469999995</v>
      </c>
      <c r="R22" s="23"/>
      <c r="S22" s="23"/>
      <c r="T22" s="23"/>
    </row>
    <row r="23" spans="2:20" x14ac:dyDescent="0.3">
      <c r="B23" s="56"/>
      <c r="C23" s="57"/>
      <c r="D23" s="58"/>
      <c r="E23" s="10"/>
      <c r="F23" s="10"/>
      <c r="G23" s="10"/>
      <c r="H23" s="10"/>
      <c r="I23" s="23">
        <f t="shared" si="5"/>
        <v>0</v>
      </c>
      <c r="J23" s="23"/>
      <c r="K23" s="23">
        <f t="shared" si="1"/>
        <v>0</v>
      </c>
      <c r="L23" s="23"/>
      <c r="M23" s="23"/>
      <c r="N23" s="23"/>
      <c r="O23" s="10"/>
      <c r="P23" s="10"/>
      <c r="Q23" s="23">
        <f t="shared" si="6"/>
        <v>0</v>
      </c>
      <c r="R23" s="23"/>
      <c r="S23" s="23"/>
      <c r="T23" s="23"/>
    </row>
    <row r="24" spans="2:20" x14ac:dyDescent="0.3">
      <c r="I24" s="60"/>
      <c r="J24" s="60"/>
    </row>
    <row r="25" spans="2:20" x14ac:dyDescent="0.3">
      <c r="I25" s="60"/>
      <c r="J25" s="60"/>
    </row>
    <row r="26" spans="2:20" x14ac:dyDescent="0.3">
      <c r="B26" s="29" t="s">
        <v>54</v>
      </c>
      <c r="C26" s="29"/>
      <c r="D26" s="29"/>
      <c r="E26" s="29"/>
      <c r="F26" s="29"/>
      <c r="G26" s="1"/>
      <c r="H26" s="1"/>
      <c r="I26" s="1"/>
    </row>
    <row r="27" spans="2:20" x14ac:dyDescent="0.3">
      <c r="B27" s="20" t="s">
        <v>59</v>
      </c>
      <c r="C27" s="20"/>
      <c r="D27" s="20"/>
      <c r="E27" s="59" t="s">
        <v>63</v>
      </c>
      <c r="F27" s="59"/>
      <c r="G27" s="59"/>
      <c r="H27" s="59"/>
      <c r="I27" s="59"/>
      <c r="J27" s="59"/>
      <c r="K27" s="59"/>
      <c r="L27" s="59"/>
      <c r="M27" s="59"/>
      <c r="N27" s="59"/>
      <c r="O27" s="23" t="s">
        <v>66</v>
      </c>
      <c r="P27" s="23"/>
      <c r="Q27" s="23"/>
      <c r="R27" s="23"/>
      <c r="S27" s="23"/>
      <c r="T27" s="23"/>
    </row>
    <row r="28" spans="2:20" ht="14.4" customHeight="1" x14ac:dyDescent="0.3">
      <c r="B28" s="20"/>
      <c r="C28" s="20"/>
      <c r="D28" s="20"/>
      <c r="E28" s="20" t="s">
        <v>69</v>
      </c>
      <c r="F28" s="26" t="s">
        <v>60</v>
      </c>
      <c r="G28" s="23" t="s">
        <v>21</v>
      </c>
      <c r="H28" s="23"/>
      <c r="I28" s="27" t="s">
        <v>61</v>
      </c>
      <c r="J28" s="27"/>
      <c r="K28" s="27" t="s">
        <v>62</v>
      </c>
      <c r="L28" s="27"/>
      <c r="M28" s="23" t="s">
        <v>21</v>
      </c>
      <c r="N28" s="23"/>
      <c r="O28" s="27" t="s">
        <v>64</v>
      </c>
      <c r="P28" s="23" t="s">
        <v>21</v>
      </c>
      <c r="Q28" s="27" t="s">
        <v>65</v>
      </c>
      <c r="R28" s="27"/>
      <c r="S28" s="23" t="s">
        <v>21</v>
      </c>
      <c r="T28" s="23"/>
    </row>
    <row r="29" spans="2:20" x14ac:dyDescent="0.3">
      <c r="B29" s="20"/>
      <c r="C29" s="20"/>
      <c r="D29" s="20"/>
      <c r="E29" s="20"/>
      <c r="F29" s="26"/>
      <c r="G29" s="23"/>
      <c r="H29" s="23"/>
      <c r="I29" s="27"/>
      <c r="J29" s="27"/>
      <c r="K29" s="27"/>
      <c r="L29" s="27"/>
      <c r="M29" s="23"/>
      <c r="N29" s="23"/>
      <c r="O29" s="27"/>
      <c r="P29" s="23"/>
      <c r="Q29" s="27"/>
      <c r="R29" s="27"/>
      <c r="S29" s="23"/>
      <c r="T29" s="23"/>
    </row>
    <row r="30" spans="2:20" ht="14.4" customHeight="1" x14ac:dyDescent="0.3">
      <c r="B30" s="26" t="s">
        <v>36</v>
      </c>
      <c r="C30" s="26"/>
      <c r="D30" s="26"/>
      <c r="E30" s="4">
        <v>69.833600000000004</v>
      </c>
      <c r="F30" s="6">
        <f>0.7*E30</f>
        <v>48.883519999999997</v>
      </c>
      <c r="G30" s="23"/>
      <c r="H30" s="23"/>
      <c r="I30" s="23">
        <v>0</v>
      </c>
      <c r="J30" s="23"/>
      <c r="K30" s="23">
        <f>0.8*I30</f>
        <v>0</v>
      </c>
      <c r="L30" s="23"/>
      <c r="M30" s="23"/>
      <c r="N30" s="23"/>
      <c r="O30" s="10">
        <f>0.6*E30</f>
        <v>41.90016</v>
      </c>
      <c r="P30" s="10"/>
      <c r="Q30" s="23">
        <v>0</v>
      </c>
      <c r="R30" s="23"/>
      <c r="S30" s="23"/>
      <c r="T30" s="23"/>
    </row>
    <row r="31" spans="2:20" x14ac:dyDescent="0.3">
      <c r="B31" s="26" t="s">
        <v>37</v>
      </c>
      <c r="C31" s="26"/>
      <c r="D31" s="26"/>
      <c r="E31" s="4">
        <v>697.0598</v>
      </c>
      <c r="F31" s="6">
        <f t="shared" ref="F31:F42" si="9">0.7*E31</f>
        <v>487.94185999999996</v>
      </c>
      <c r="G31" s="23" t="str">
        <f>IF(E31&gt;F30,"OK","NOT OK")</f>
        <v>OK</v>
      </c>
      <c r="H31" s="23"/>
      <c r="I31" s="23">
        <v>0</v>
      </c>
      <c r="J31" s="23"/>
      <c r="K31" s="23">
        <f t="shared" ref="K31:K44" si="10">0.8*I31</f>
        <v>0</v>
      </c>
      <c r="L31" s="23"/>
      <c r="M31" s="23"/>
      <c r="N31" s="23"/>
      <c r="O31" s="10">
        <f t="shared" ref="O31:O42" si="11">0.6*E31</f>
        <v>418.23588000000001</v>
      </c>
      <c r="P31" s="10" t="str">
        <f>IF(E31&gt;O30,"OK","NOT OK")</f>
        <v>OK</v>
      </c>
      <c r="Q31" s="23">
        <v>0</v>
      </c>
      <c r="R31" s="23"/>
      <c r="S31" s="23"/>
      <c r="T31" s="23"/>
    </row>
    <row r="32" spans="2:20" x14ac:dyDescent="0.3">
      <c r="B32" s="26" t="s">
        <v>38</v>
      </c>
      <c r="C32" s="26"/>
      <c r="D32" s="26"/>
      <c r="E32" s="4">
        <v>1336.8412000000001</v>
      </c>
      <c r="F32" s="6">
        <f t="shared" si="9"/>
        <v>935.78883999999994</v>
      </c>
      <c r="G32" s="23" t="str">
        <f t="shared" ref="G32:G41" si="12">IF(E32&gt;F31,"OK","NOT OK")</f>
        <v>OK</v>
      </c>
      <c r="H32" s="23"/>
      <c r="I32" s="23">
        <f>AVERAGE(F30:F32)</f>
        <v>490.87140666666664</v>
      </c>
      <c r="J32" s="23"/>
      <c r="K32" s="23">
        <f t="shared" si="10"/>
        <v>392.69712533333336</v>
      </c>
      <c r="L32" s="23"/>
      <c r="M32" s="23"/>
      <c r="N32" s="23"/>
      <c r="O32" s="10">
        <f t="shared" si="11"/>
        <v>802.10472000000004</v>
      </c>
      <c r="P32" s="10" t="str">
        <f t="shared" ref="P32:P41" si="13">IF(E32&gt;O31,"OK","NOT OK")</f>
        <v>OK</v>
      </c>
      <c r="Q32" s="23">
        <f>AVERAGE(O30:O32)*0.7</f>
        <v>294.52284400000002</v>
      </c>
      <c r="R32" s="23"/>
      <c r="S32" s="23"/>
      <c r="T32" s="23"/>
    </row>
    <row r="33" spans="2:20" x14ac:dyDescent="0.3">
      <c r="B33" s="26" t="s">
        <v>39</v>
      </c>
      <c r="C33" s="26"/>
      <c r="D33" s="26"/>
      <c r="E33" s="4">
        <v>1780.7071000000001</v>
      </c>
      <c r="F33" s="6">
        <f t="shared" si="9"/>
        <v>1246.49497</v>
      </c>
      <c r="G33" s="23" t="str">
        <f t="shared" si="12"/>
        <v>OK</v>
      </c>
      <c r="H33" s="23"/>
      <c r="I33" s="23">
        <f t="shared" ref="I33:I42" si="14">AVERAGE(F31:F33)</f>
        <v>890.07522333333327</v>
      </c>
      <c r="J33" s="23"/>
      <c r="K33" s="23">
        <f t="shared" si="10"/>
        <v>712.06017866666662</v>
      </c>
      <c r="L33" s="23"/>
      <c r="M33" s="23" t="str">
        <f>IF(E33&gt;K32,"OK","NOT OK")</f>
        <v>OK</v>
      </c>
      <c r="N33" s="23"/>
      <c r="O33" s="10">
        <f t="shared" si="11"/>
        <v>1068.42426</v>
      </c>
      <c r="P33" s="10" t="str">
        <f t="shared" si="13"/>
        <v>OK</v>
      </c>
      <c r="Q33" s="23">
        <f t="shared" ref="Q33:Q44" si="15">AVERAGE(O31:O33)*0.7</f>
        <v>534.04513400000008</v>
      </c>
      <c r="R33" s="23"/>
      <c r="S33" s="23" t="str">
        <f>IF(E33&gt;Q32,"OK","NOT OK")</f>
        <v>OK</v>
      </c>
      <c r="T33" s="23"/>
    </row>
    <row r="34" spans="2:20" x14ac:dyDescent="0.3">
      <c r="B34" s="26" t="s">
        <v>40</v>
      </c>
      <c r="C34" s="26"/>
      <c r="D34" s="26"/>
      <c r="E34" s="4">
        <v>2122.2872000000002</v>
      </c>
      <c r="F34" s="6">
        <f t="shared" si="9"/>
        <v>1485.60104</v>
      </c>
      <c r="G34" s="23" t="str">
        <f t="shared" si="12"/>
        <v>OK</v>
      </c>
      <c r="H34" s="23"/>
      <c r="I34" s="23">
        <f t="shared" si="14"/>
        <v>1222.6282833333332</v>
      </c>
      <c r="J34" s="23"/>
      <c r="K34" s="23">
        <f t="shared" si="10"/>
        <v>978.10262666666665</v>
      </c>
      <c r="L34" s="23"/>
      <c r="M34" s="23" t="str">
        <f t="shared" ref="M34:M42" si="16">IF(E34&gt;K33,"OK","NOT OK")</f>
        <v>OK</v>
      </c>
      <c r="N34" s="23"/>
      <c r="O34" s="10">
        <f t="shared" si="11"/>
        <v>1273.3723200000002</v>
      </c>
      <c r="P34" s="10" t="str">
        <f t="shared" si="13"/>
        <v>OK</v>
      </c>
      <c r="Q34" s="23">
        <f t="shared" si="15"/>
        <v>733.57696999999996</v>
      </c>
      <c r="R34" s="23"/>
      <c r="S34" s="23" t="str">
        <f t="shared" ref="S34:S42" si="17">IF(E34&gt;Q33,"OK","NOT OK")</f>
        <v>OK</v>
      </c>
      <c r="T34" s="23"/>
    </row>
    <row r="35" spans="2:20" x14ac:dyDescent="0.3">
      <c r="B35" s="26" t="s">
        <v>41</v>
      </c>
      <c r="C35" s="26"/>
      <c r="D35" s="26"/>
      <c r="E35" s="4">
        <v>2472.0189</v>
      </c>
      <c r="F35" s="6">
        <f t="shared" si="9"/>
        <v>1730.4132299999999</v>
      </c>
      <c r="G35" s="23" t="str">
        <f t="shared" si="12"/>
        <v>OK</v>
      </c>
      <c r="H35" s="23"/>
      <c r="I35" s="23">
        <f t="shared" si="14"/>
        <v>1487.5030800000002</v>
      </c>
      <c r="J35" s="23"/>
      <c r="K35" s="23">
        <f t="shared" si="10"/>
        <v>1190.0024640000001</v>
      </c>
      <c r="L35" s="23"/>
      <c r="M35" s="23" t="str">
        <f t="shared" si="16"/>
        <v>OK</v>
      </c>
      <c r="N35" s="23"/>
      <c r="O35" s="10">
        <f t="shared" si="11"/>
        <v>1483.2113400000001</v>
      </c>
      <c r="P35" s="10" t="str">
        <f t="shared" si="13"/>
        <v>OK</v>
      </c>
      <c r="Q35" s="23">
        <f t="shared" si="15"/>
        <v>892.50184799999988</v>
      </c>
      <c r="R35" s="23"/>
      <c r="S35" s="23" t="str">
        <f t="shared" si="17"/>
        <v>OK</v>
      </c>
      <c r="T35" s="23"/>
    </row>
    <row r="36" spans="2:20" x14ac:dyDescent="0.3">
      <c r="B36" s="26" t="s">
        <v>42</v>
      </c>
      <c r="C36" s="26"/>
      <c r="D36" s="26"/>
      <c r="E36" s="4">
        <v>2716.2547</v>
      </c>
      <c r="F36" s="6">
        <f t="shared" si="9"/>
        <v>1901.3782899999999</v>
      </c>
      <c r="G36" s="23" t="str">
        <f t="shared" si="12"/>
        <v>OK</v>
      </c>
      <c r="H36" s="23"/>
      <c r="I36" s="23">
        <f t="shared" si="14"/>
        <v>1705.7975199999998</v>
      </c>
      <c r="J36" s="23"/>
      <c r="K36" s="23">
        <f t="shared" si="10"/>
        <v>1364.6380159999999</v>
      </c>
      <c r="L36" s="23"/>
      <c r="M36" s="23" t="str">
        <f t="shared" si="16"/>
        <v>OK</v>
      </c>
      <c r="N36" s="23"/>
      <c r="O36" s="10">
        <f t="shared" si="11"/>
        <v>1629.7528199999999</v>
      </c>
      <c r="P36" s="10" t="str">
        <f t="shared" si="13"/>
        <v>OK</v>
      </c>
      <c r="Q36" s="23">
        <f t="shared" si="15"/>
        <v>1023.4785119999999</v>
      </c>
      <c r="R36" s="23"/>
      <c r="S36" s="23" t="str">
        <f t="shared" si="17"/>
        <v>OK</v>
      </c>
      <c r="T36" s="23"/>
    </row>
    <row r="37" spans="2:20" x14ac:dyDescent="0.3">
      <c r="B37" s="26" t="s">
        <v>43</v>
      </c>
      <c r="C37" s="26"/>
      <c r="D37" s="26"/>
      <c r="E37" s="4">
        <v>2821.9319</v>
      </c>
      <c r="F37" s="6">
        <f t="shared" si="9"/>
        <v>1975.3523299999999</v>
      </c>
      <c r="G37" s="23" t="str">
        <f t="shared" si="12"/>
        <v>OK</v>
      </c>
      <c r="H37" s="23"/>
      <c r="I37" s="23">
        <f t="shared" si="14"/>
        <v>1869.0479499999999</v>
      </c>
      <c r="J37" s="23"/>
      <c r="K37" s="23">
        <f t="shared" si="10"/>
        <v>1495.2383600000001</v>
      </c>
      <c r="L37" s="23"/>
      <c r="M37" s="23" t="str">
        <f t="shared" si="16"/>
        <v>OK</v>
      </c>
      <c r="N37" s="23"/>
      <c r="O37" s="10">
        <f t="shared" si="11"/>
        <v>1693.15914</v>
      </c>
      <c r="P37" s="10" t="str">
        <f t="shared" si="13"/>
        <v>OK</v>
      </c>
      <c r="Q37" s="23">
        <f t="shared" si="15"/>
        <v>1121.42877</v>
      </c>
      <c r="R37" s="23"/>
      <c r="S37" s="23" t="str">
        <f t="shared" si="17"/>
        <v>OK</v>
      </c>
      <c r="T37" s="23"/>
    </row>
    <row r="38" spans="2:20" x14ac:dyDescent="0.3">
      <c r="B38" s="26" t="s">
        <v>44</v>
      </c>
      <c r="C38" s="26"/>
      <c r="D38" s="26"/>
      <c r="E38" s="4">
        <v>3086.4686999999999</v>
      </c>
      <c r="F38" s="6">
        <f t="shared" si="9"/>
        <v>2160.5280899999998</v>
      </c>
      <c r="G38" s="23" t="str">
        <f t="shared" si="12"/>
        <v>OK</v>
      </c>
      <c r="H38" s="23"/>
      <c r="I38" s="23">
        <f t="shared" si="14"/>
        <v>2012.41957</v>
      </c>
      <c r="J38" s="23"/>
      <c r="K38" s="23">
        <f t="shared" si="10"/>
        <v>1609.9356560000001</v>
      </c>
      <c r="L38" s="23"/>
      <c r="M38" s="23" t="str">
        <f t="shared" si="16"/>
        <v>OK</v>
      </c>
      <c r="N38" s="23"/>
      <c r="O38" s="10">
        <f t="shared" si="11"/>
        <v>1851.8812199999998</v>
      </c>
      <c r="P38" s="10" t="str">
        <f t="shared" si="13"/>
        <v>OK</v>
      </c>
      <c r="Q38" s="23">
        <f t="shared" si="15"/>
        <v>1207.4517419999997</v>
      </c>
      <c r="R38" s="23"/>
      <c r="S38" s="23" t="str">
        <f t="shared" si="17"/>
        <v>OK</v>
      </c>
      <c r="T38" s="23"/>
    </row>
    <row r="39" spans="2:20" x14ac:dyDescent="0.3">
      <c r="B39" s="26" t="s">
        <v>45</v>
      </c>
      <c r="C39" s="26"/>
      <c r="D39" s="26"/>
      <c r="E39" s="4">
        <v>3828.0144</v>
      </c>
      <c r="F39" s="6">
        <f t="shared" si="9"/>
        <v>2679.6100799999999</v>
      </c>
      <c r="G39" s="23" t="str">
        <f t="shared" si="12"/>
        <v>OK</v>
      </c>
      <c r="H39" s="23"/>
      <c r="I39" s="23">
        <f t="shared" si="14"/>
        <v>2271.8301666666666</v>
      </c>
      <c r="J39" s="23"/>
      <c r="K39" s="23">
        <f t="shared" si="10"/>
        <v>1817.4641333333334</v>
      </c>
      <c r="L39" s="23"/>
      <c r="M39" s="23" t="str">
        <f t="shared" si="16"/>
        <v>OK</v>
      </c>
      <c r="N39" s="23"/>
      <c r="O39" s="10">
        <f t="shared" si="11"/>
        <v>2296.8086399999997</v>
      </c>
      <c r="P39" s="10" t="str">
        <f t="shared" si="13"/>
        <v>OK</v>
      </c>
      <c r="Q39" s="23">
        <f t="shared" si="15"/>
        <v>1363.0980999999999</v>
      </c>
      <c r="R39" s="23"/>
      <c r="S39" s="23" t="str">
        <f t="shared" si="17"/>
        <v>OK</v>
      </c>
      <c r="T39" s="23"/>
    </row>
    <row r="40" spans="2:20" x14ac:dyDescent="0.3">
      <c r="B40" s="26" t="s">
        <v>46</v>
      </c>
      <c r="C40" s="26"/>
      <c r="D40" s="26"/>
      <c r="E40" s="4">
        <v>4838.7714999999998</v>
      </c>
      <c r="F40" s="6">
        <f t="shared" si="9"/>
        <v>3387.1400499999995</v>
      </c>
      <c r="G40" s="23" t="str">
        <f t="shared" si="12"/>
        <v>OK</v>
      </c>
      <c r="H40" s="23"/>
      <c r="I40" s="23">
        <f t="shared" si="14"/>
        <v>2742.4260733333335</v>
      </c>
      <c r="J40" s="23"/>
      <c r="K40" s="23">
        <f t="shared" si="10"/>
        <v>2193.9408586666668</v>
      </c>
      <c r="L40" s="23"/>
      <c r="M40" s="23" t="str">
        <f t="shared" si="16"/>
        <v>OK</v>
      </c>
      <c r="N40" s="23"/>
      <c r="O40" s="10">
        <f t="shared" si="11"/>
        <v>2903.2628999999997</v>
      </c>
      <c r="P40" s="10" t="str">
        <f t="shared" si="13"/>
        <v>OK</v>
      </c>
      <c r="Q40" s="23">
        <f t="shared" si="15"/>
        <v>1645.4556439999997</v>
      </c>
      <c r="R40" s="23"/>
      <c r="S40" s="23" t="str">
        <f t="shared" si="17"/>
        <v>OK</v>
      </c>
      <c r="T40" s="23"/>
    </row>
    <row r="41" spans="2:20" x14ac:dyDescent="0.3">
      <c r="B41" s="26" t="s">
        <v>67</v>
      </c>
      <c r="C41" s="26"/>
      <c r="D41" s="26"/>
      <c r="E41" s="4">
        <v>10286.661099999999</v>
      </c>
      <c r="F41" s="6">
        <f t="shared" si="9"/>
        <v>7200.662769999999</v>
      </c>
      <c r="G41" s="23" t="str">
        <f t="shared" si="12"/>
        <v>OK</v>
      </c>
      <c r="H41" s="23"/>
      <c r="I41" s="23">
        <f t="shared" si="14"/>
        <v>4422.4709666666668</v>
      </c>
      <c r="J41" s="23"/>
      <c r="K41" s="23">
        <f t="shared" si="10"/>
        <v>3537.9767733333338</v>
      </c>
      <c r="L41" s="23"/>
      <c r="M41" s="23" t="str">
        <f t="shared" si="16"/>
        <v>OK</v>
      </c>
      <c r="N41" s="23"/>
      <c r="O41" s="10">
        <f t="shared" si="11"/>
        <v>6171.9966599999998</v>
      </c>
      <c r="P41" s="10" t="str">
        <f t="shared" si="13"/>
        <v>OK</v>
      </c>
      <c r="Q41" s="23">
        <f t="shared" si="15"/>
        <v>2653.4825799999994</v>
      </c>
      <c r="R41" s="23"/>
      <c r="S41" s="23" t="str">
        <f t="shared" si="17"/>
        <v>OK</v>
      </c>
      <c r="T41" s="23"/>
    </row>
    <row r="42" spans="2:20" x14ac:dyDescent="0.3">
      <c r="B42" s="23" t="s">
        <v>68</v>
      </c>
      <c r="C42" s="23"/>
      <c r="D42" s="23"/>
      <c r="E42" s="6">
        <v>0</v>
      </c>
      <c r="F42" s="6">
        <f t="shared" si="9"/>
        <v>0</v>
      </c>
      <c r="G42" s="23" t="s">
        <v>51</v>
      </c>
      <c r="H42" s="23"/>
      <c r="I42" s="23">
        <f t="shared" si="14"/>
        <v>3529.2676066666663</v>
      </c>
      <c r="J42" s="23"/>
      <c r="K42" s="23">
        <f t="shared" si="10"/>
        <v>2823.4140853333333</v>
      </c>
      <c r="L42" s="23"/>
      <c r="M42" s="23" t="str">
        <f t="shared" si="16"/>
        <v>NOT OK</v>
      </c>
      <c r="N42" s="23"/>
      <c r="O42" s="10">
        <f t="shared" si="11"/>
        <v>0</v>
      </c>
      <c r="P42" s="10" t="s">
        <v>51</v>
      </c>
      <c r="Q42" s="23">
        <f t="shared" si="15"/>
        <v>2117.5605639999994</v>
      </c>
      <c r="R42" s="23"/>
      <c r="S42" s="23" t="str">
        <f t="shared" si="17"/>
        <v>NOT OK</v>
      </c>
      <c r="T42" s="23"/>
    </row>
    <row r="43" spans="2:20" x14ac:dyDescent="0.3">
      <c r="B43" s="53"/>
      <c r="C43" s="54"/>
      <c r="D43" s="55"/>
      <c r="E43" s="10"/>
      <c r="F43" s="10"/>
      <c r="G43" s="10"/>
      <c r="H43" s="10"/>
      <c r="I43" s="23">
        <f>AVERAGE(F41:F43)</f>
        <v>3600.3313849999995</v>
      </c>
      <c r="J43" s="23"/>
      <c r="K43" s="23">
        <f t="shared" si="10"/>
        <v>2880.2651079999996</v>
      </c>
      <c r="L43" s="23"/>
      <c r="M43" s="23"/>
      <c r="N43" s="23"/>
      <c r="O43" s="10"/>
      <c r="P43" s="10"/>
      <c r="Q43" s="23">
        <f t="shared" si="15"/>
        <v>2160.1988309999997</v>
      </c>
      <c r="R43" s="23"/>
      <c r="S43" s="23"/>
      <c r="T43" s="23"/>
    </row>
    <row r="44" spans="2:20" x14ac:dyDescent="0.3">
      <c r="B44" s="56"/>
      <c r="C44" s="57"/>
      <c r="D44" s="58"/>
      <c r="E44" s="10"/>
      <c r="F44" s="10"/>
      <c r="G44" s="10"/>
      <c r="H44" s="10"/>
      <c r="I44" s="23">
        <f t="shared" ref="I44" si="18">AVERAGE(F42:F44)</f>
        <v>0</v>
      </c>
      <c r="J44" s="23"/>
      <c r="K44" s="23">
        <f t="shared" si="10"/>
        <v>0</v>
      </c>
      <c r="L44" s="23"/>
      <c r="M44" s="23"/>
      <c r="N44" s="23"/>
      <c r="O44" s="10"/>
      <c r="P44" s="10"/>
      <c r="Q44" s="23">
        <f t="shared" si="15"/>
        <v>0</v>
      </c>
      <c r="R44" s="23"/>
      <c r="S44" s="23"/>
      <c r="T44" s="23"/>
    </row>
  </sheetData>
  <mergeCells count="235">
    <mergeCell ref="B2:I4"/>
    <mergeCell ref="B5:F5"/>
    <mergeCell ref="G7:H8"/>
    <mergeCell ref="I7:J8"/>
    <mergeCell ref="F7:F8"/>
    <mergeCell ref="E6:N6"/>
    <mergeCell ref="B14:D14"/>
    <mergeCell ref="B15:D15"/>
    <mergeCell ref="B16:D16"/>
    <mergeCell ref="Q7:R8"/>
    <mergeCell ref="S7:T8"/>
    <mergeCell ref="O6:T6"/>
    <mergeCell ref="K7:L8"/>
    <mergeCell ref="M7:N8"/>
    <mergeCell ref="O7:O8"/>
    <mergeCell ref="P7:P8"/>
    <mergeCell ref="B17:D17"/>
    <mergeCell ref="B18:D1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K18:L18"/>
    <mergeCell ref="S17:T17"/>
    <mergeCell ref="S18:T18"/>
    <mergeCell ref="B19:D19"/>
    <mergeCell ref="B20:D20"/>
    <mergeCell ref="B21:D21"/>
    <mergeCell ref="E7:E8"/>
    <mergeCell ref="G16:H16"/>
    <mergeCell ref="G17:H17"/>
    <mergeCell ref="G18:H18"/>
    <mergeCell ref="G19:H19"/>
    <mergeCell ref="G20:H20"/>
    <mergeCell ref="B6:D8"/>
    <mergeCell ref="B9:D9"/>
    <mergeCell ref="B10:D10"/>
    <mergeCell ref="B11:D11"/>
    <mergeCell ref="B12:D12"/>
    <mergeCell ref="G9:H9"/>
    <mergeCell ref="G10:H10"/>
    <mergeCell ref="G11:H11"/>
    <mergeCell ref="G12:H12"/>
    <mergeCell ref="G13:H13"/>
    <mergeCell ref="G14:H14"/>
    <mergeCell ref="G15:H15"/>
    <mergeCell ref="B13:D13"/>
    <mergeCell ref="G21:H21"/>
    <mergeCell ref="K19:L19"/>
    <mergeCell ref="K20:L20"/>
    <mergeCell ref="K21:L21"/>
    <mergeCell ref="K22:L22"/>
    <mergeCell ref="K23:L23"/>
    <mergeCell ref="I30:J30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I24:J24"/>
    <mergeCell ref="I25:J25"/>
    <mergeCell ref="I18:J18"/>
    <mergeCell ref="I19:J19"/>
    <mergeCell ref="I20:J20"/>
    <mergeCell ref="I21:J21"/>
    <mergeCell ref="I22:J22"/>
    <mergeCell ref="I23:J23"/>
    <mergeCell ref="M21:N21"/>
    <mergeCell ref="M22:N22"/>
    <mergeCell ref="M23:N23"/>
    <mergeCell ref="Q9:R9"/>
    <mergeCell ref="Q10:R10"/>
    <mergeCell ref="Q11:R11"/>
    <mergeCell ref="Q12:R12"/>
    <mergeCell ref="Q13:R13"/>
    <mergeCell ref="Q14:R14"/>
    <mergeCell ref="Q15:R15"/>
    <mergeCell ref="M15:N15"/>
    <mergeCell ref="M16:N16"/>
    <mergeCell ref="M17:N17"/>
    <mergeCell ref="M18:N18"/>
    <mergeCell ref="M19:N19"/>
    <mergeCell ref="M20:N20"/>
    <mergeCell ref="M9:N9"/>
    <mergeCell ref="M10:N10"/>
    <mergeCell ref="M11:N11"/>
    <mergeCell ref="M12:N12"/>
    <mergeCell ref="M13:N13"/>
    <mergeCell ref="M14:N14"/>
    <mergeCell ref="S19:T19"/>
    <mergeCell ref="S20:T20"/>
    <mergeCell ref="S21:T21"/>
    <mergeCell ref="S22:T22"/>
    <mergeCell ref="Q22:R22"/>
    <mergeCell ref="Q23:R23"/>
    <mergeCell ref="S9:T9"/>
    <mergeCell ref="S10:T10"/>
    <mergeCell ref="S11:T11"/>
    <mergeCell ref="S12:T12"/>
    <mergeCell ref="S13:T13"/>
    <mergeCell ref="S14:T14"/>
    <mergeCell ref="S15:T15"/>
    <mergeCell ref="S16:T16"/>
    <mergeCell ref="Q16:R16"/>
    <mergeCell ref="Q17:R17"/>
    <mergeCell ref="Q18:R18"/>
    <mergeCell ref="Q19:R19"/>
    <mergeCell ref="Q20:R20"/>
    <mergeCell ref="Q21:R21"/>
    <mergeCell ref="S23:T23"/>
    <mergeCell ref="B22:D23"/>
    <mergeCell ref="B26:F26"/>
    <mergeCell ref="B27:D29"/>
    <mergeCell ref="E27:N27"/>
    <mergeCell ref="O27:T27"/>
    <mergeCell ref="E28:E29"/>
    <mergeCell ref="F28:F29"/>
    <mergeCell ref="G28:H29"/>
    <mergeCell ref="I28:J29"/>
    <mergeCell ref="B30:D30"/>
    <mergeCell ref="G30:H30"/>
    <mergeCell ref="K30:L30"/>
    <mergeCell ref="M30:N30"/>
    <mergeCell ref="Q30:R30"/>
    <mergeCell ref="S30:T30"/>
    <mergeCell ref="K28:L29"/>
    <mergeCell ref="M28:N29"/>
    <mergeCell ref="O28:O29"/>
    <mergeCell ref="P28:P29"/>
    <mergeCell ref="Q28:R29"/>
    <mergeCell ref="S28:T29"/>
    <mergeCell ref="S31:T31"/>
    <mergeCell ref="B32:D32"/>
    <mergeCell ref="G32:H32"/>
    <mergeCell ref="I32:J32"/>
    <mergeCell ref="K32:L32"/>
    <mergeCell ref="M32:N32"/>
    <mergeCell ref="Q32:R32"/>
    <mergeCell ref="S32:T32"/>
    <mergeCell ref="B31:D31"/>
    <mergeCell ref="G31:H31"/>
    <mergeCell ref="I31:J31"/>
    <mergeCell ref="K31:L31"/>
    <mergeCell ref="M31:N31"/>
    <mergeCell ref="Q31:R31"/>
    <mergeCell ref="S33:T33"/>
    <mergeCell ref="B34:D34"/>
    <mergeCell ref="G34:H34"/>
    <mergeCell ref="I34:J34"/>
    <mergeCell ref="K34:L34"/>
    <mergeCell ref="M34:N34"/>
    <mergeCell ref="Q34:R34"/>
    <mergeCell ref="S34:T34"/>
    <mergeCell ref="B33:D33"/>
    <mergeCell ref="G33:H33"/>
    <mergeCell ref="I33:J33"/>
    <mergeCell ref="K33:L33"/>
    <mergeCell ref="M33:N33"/>
    <mergeCell ref="Q33:R33"/>
    <mergeCell ref="S35:T35"/>
    <mergeCell ref="B36:D36"/>
    <mergeCell ref="G36:H36"/>
    <mergeCell ref="I36:J36"/>
    <mergeCell ref="K36:L36"/>
    <mergeCell ref="M36:N36"/>
    <mergeCell ref="Q36:R36"/>
    <mergeCell ref="S36:T36"/>
    <mergeCell ref="B35:D35"/>
    <mergeCell ref="G35:H35"/>
    <mergeCell ref="I35:J35"/>
    <mergeCell ref="K35:L35"/>
    <mergeCell ref="M35:N35"/>
    <mergeCell ref="Q35:R35"/>
    <mergeCell ref="S37:T37"/>
    <mergeCell ref="B38:D38"/>
    <mergeCell ref="G38:H38"/>
    <mergeCell ref="I38:J38"/>
    <mergeCell ref="K38:L38"/>
    <mergeCell ref="M38:N38"/>
    <mergeCell ref="Q38:R38"/>
    <mergeCell ref="S38:T38"/>
    <mergeCell ref="B37:D37"/>
    <mergeCell ref="G37:H37"/>
    <mergeCell ref="I37:J37"/>
    <mergeCell ref="K37:L37"/>
    <mergeCell ref="M37:N37"/>
    <mergeCell ref="Q37:R37"/>
    <mergeCell ref="S39:T39"/>
    <mergeCell ref="B40:D40"/>
    <mergeCell ref="G40:H40"/>
    <mergeCell ref="I40:J40"/>
    <mergeCell ref="K40:L40"/>
    <mergeCell ref="M40:N40"/>
    <mergeCell ref="Q40:R40"/>
    <mergeCell ref="S40:T40"/>
    <mergeCell ref="B39:D39"/>
    <mergeCell ref="G39:H39"/>
    <mergeCell ref="I39:J39"/>
    <mergeCell ref="K39:L39"/>
    <mergeCell ref="M39:N39"/>
    <mergeCell ref="Q39:R39"/>
    <mergeCell ref="S41:T41"/>
    <mergeCell ref="B42:D42"/>
    <mergeCell ref="G42:H42"/>
    <mergeCell ref="I42:J42"/>
    <mergeCell ref="K42:L42"/>
    <mergeCell ref="M42:N42"/>
    <mergeCell ref="Q42:R42"/>
    <mergeCell ref="S42:T42"/>
    <mergeCell ref="B41:D41"/>
    <mergeCell ref="G41:H41"/>
    <mergeCell ref="I41:J41"/>
    <mergeCell ref="K41:L41"/>
    <mergeCell ref="M41:N41"/>
    <mergeCell ref="Q41:R41"/>
    <mergeCell ref="S44:T44"/>
    <mergeCell ref="B43:D44"/>
    <mergeCell ref="I43:J43"/>
    <mergeCell ref="K43:L43"/>
    <mergeCell ref="M43:N43"/>
    <mergeCell ref="Q43:R43"/>
    <mergeCell ref="S43:T43"/>
    <mergeCell ref="I44:J44"/>
    <mergeCell ref="K44:L44"/>
    <mergeCell ref="M44:N44"/>
    <mergeCell ref="Q44:R44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EDE3-5EA9-472C-9269-82E6FC74DEDC}">
  <dimension ref="B3:Y53"/>
  <sheetViews>
    <sheetView zoomScaleNormal="100" workbookViewId="0">
      <selection activeCell="V19" sqref="V19"/>
    </sheetView>
  </sheetViews>
  <sheetFormatPr defaultRowHeight="14.4" x14ac:dyDescent="0.3"/>
  <sheetData>
    <row r="3" spans="2:25" x14ac:dyDescent="0.3">
      <c r="B3" s="24" t="s">
        <v>95</v>
      </c>
      <c r="C3" s="24"/>
      <c r="D3" s="24"/>
      <c r="E3" s="20"/>
      <c r="F3" s="20"/>
      <c r="G3" s="20"/>
      <c r="H3" s="20"/>
      <c r="I3" s="20"/>
    </row>
    <row r="4" spans="2:25" x14ac:dyDescent="0.3">
      <c r="B4" s="20"/>
      <c r="C4" s="20"/>
      <c r="D4" s="20"/>
      <c r="E4" s="20"/>
      <c r="F4" s="20"/>
      <c r="G4" s="20"/>
      <c r="H4" s="20"/>
      <c r="I4" s="20"/>
    </row>
    <row r="5" spans="2:25" x14ac:dyDescent="0.3">
      <c r="B5" s="20"/>
      <c r="C5" s="20"/>
      <c r="D5" s="20"/>
      <c r="E5" s="20"/>
      <c r="F5" s="20"/>
      <c r="G5" s="20"/>
      <c r="H5" s="20"/>
      <c r="I5" s="20"/>
    </row>
    <row r="7" spans="2:25" ht="14.4" customHeight="1" x14ac:dyDescent="0.3">
      <c r="B7" s="23" t="s">
        <v>71</v>
      </c>
      <c r="C7" s="23"/>
      <c r="D7" s="27" t="s">
        <v>73</v>
      </c>
      <c r="E7" s="27"/>
      <c r="F7" s="27" t="s">
        <v>72</v>
      </c>
      <c r="G7" s="27"/>
      <c r="H7" s="27" t="s">
        <v>74</v>
      </c>
      <c r="I7" s="27"/>
      <c r="J7" s="27" t="s">
        <v>75</v>
      </c>
      <c r="K7" s="27"/>
      <c r="L7" s="20" t="s">
        <v>76</v>
      </c>
      <c r="M7" s="20"/>
      <c r="N7" s="20" t="s">
        <v>77</v>
      </c>
      <c r="O7" s="20"/>
      <c r="P7" s="20" t="s">
        <v>78</v>
      </c>
      <c r="Q7" s="20"/>
      <c r="R7" s="20" t="s">
        <v>79</v>
      </c>
      <c r="S7" s="20"/>
      <c r="T7" s="26" t="s">
        <v>80</v>
      </c>
      <c r="U7" s="26"/>
      <c r="V7" s="27" t="s">
        <v>81</v>
      </c>
      <c r="W7" s="27"/>
      <c r="X7" s="27" t="s">
        <v>82</v>
      </c>
      <c r="Y7" s="27"/>
    </row>
    <row r="8" spans="2:25" x14ac:dyDescent="0.3">
      <c r="B8" s="23"/>
      <c r="C8" s="23"/>
      <c r="D8" s="27"/>
      <c r="E8" s="27"/>
      <c r="F8" s="27"/>
      <c r="G8" s="27"/>
      <c r="H8" s="27"/>
      <c r="I8" s="27"/>
      <c r="J8" s="27"/>
      <c r="K8" s="27"/>
      <c r="L8" s="20"/>
      <c r="M8" s="20"/>
      <c r="N8" s="20"/>
      <c r="O8" s="20"/>
      <c r="P8" s="20"/>
      <c r="Q8" s="20"/>
      <c r="R8" s="20"/>
      <c r="S8" s="20"/>
      <c r="T8" s="26"/>
      <c r="U8" s="26"/>
      <c r="V8" s="27"/>
      <c r="W8" s="27"/>
      <c r="X8" s="27"/>
      <c r="Y8" s="27"/>
    </row>
    <row r="9" spans="2:25" x14ac:dyDescent="0.3">
      <c r="B9" s="23"/>
      <c r="C9" s="23"/>
      <c r="D9" s="27"/>
      <c r="E9" s="27"/>
      <c r="F9" s="27"/>
      <c r="G9" s="27"/>
      <c r="H9" s="27"/>
      <c r="I9" s="27"/>
      <c r="J9" s="27"/>
      <c r="K9" s="27"/>
      <c r="L9" s="20"/>
      <c r="M9" s="20"/>
      <c r="N9" s="20"/>
      <c r="O9" s="20"/>
      <c r="P9" s="20"/>
      <c r="Q9" s="20"/>
      <c r="R9" s="20"/>
      <c r="S9" s="20"/>
      <c r="T9" s="26"/>
      <c r="U9" s="26"/>
      <c r="V9" s="27"/>
      <c r="W9" s="27"/>
      <c r="X9" s="27"/>
      <c r="Y9" s="27"/>
    </row>
    <row r="10" spans="2:25" x14ac:dyDescent="0.3">
      <c r="B10" s="23" t="s">
        <v>83</v>
      </c>
      <c r="C10" s="23"/>
      <c r="D10" s="23">
        <v>3.0406010000000001</v>
      </c>
      <c r="E10" s="23"/>
      <c r="F10" s="23">
        <v>2.9455469999999999</v>
      </c>
      <c r="G10" s="23"/>
      <c r="H10" s="23">
        <v>1.890641</v>
      </c>
      <c r="I10" s="23"/>
      <c r="J10" s="23">
        <v>1.778645</v>
      </c>
      <c r="K10" s="23"/>
      <c r="L10" s="23">
        <f>D10-F10</f>
        <v>9.5054000000000194E-2</v>
      </c>
      <c r="M10" s="23"/>
      <c r="N10" s="23">
        <f>H10-J10</f>
        <v>0.11199599999999998</v>
      </c>
      <c r="O10" s="23"/>
      <c r="P10" s="23">
        <f>MAX(L10:O10)</f>
        <v>0.11199599999999998</v>
      </c>
      <c r="Q10" s="23"/>
      <c r="R10" s="23">
        <f>AVERAGE(L10:O10)</f>
        <v>0.10352500000000009</v>
      </c>
      <c r="S10" s="23"/>
      <c r="T10" s="23">
        <f>P10/R10</f>
        <v>1.081825645979231</v>
      </c>
      <c r="U10" s="23"/>
      <c r="V10" s="23" t="str">
        <f>IF(T10&gt;1.2,"IRREGULAR","REGULAR")</f>
        <v>REGULAR</v>
      </c>
      <c r="W10" s="23"/>
      <c r="X10" s="23" t="str">
        <f>IF(T10&gt;1.4,"IRREGULAR","REGULAR")</f>
        <v>REGULAR</v>
      </c>
      <c r="Y10" s="23"/>
    </row>
    <row r="11" spans="2:25" x14ac:dyDescent="0.3">
      <c r="B11" s="23" t="s">
        <v>84</v>
      </c>
      <c r="C11" s="23"/>
      <c r="D11" s="23">
        <v>3.1500170000000001</v>
      </c>
      <c r="E11" s="23"/>
      <c r="F11" s="23">
        <v>2.914758</v>
      </c>
      <c r="G11" s="23"/>
      <c r="H11" s="23">
        <v>3.1451419999999999</v>
      </c>
      <c r="I11" s="23"/>
      <c r="J11" s="23">
        <v>2.9097230000000001</v>
      </c>
      <c r="K11" s="23"/>
      <c r="L11" s="23">
        <f>D11-F11</f>
        <v>0.23525900000000011</v>
      </c>
      <c r="M11" s="23"/>
      <c r="N11" s="23">
        <f>H11-J11</f>
        <v>0.23541899999999982</v>
      </c>
      <c r="O11" s="23"/>
      <c r="P11" s="23">
        <f>MAX(L11:O11)</f>
        <v>0.23541899999999982</v>
      </c>
      <c r="Q11" s="23"/>
      <c r="R11" s="23">
        <f>AVERAGE(L11:O11)</f>
        <v>0.23533899999999996</v>
      </c>
      <c r="S11" s="23"/>
      <c r="T11" s="23">
        <f>P11/R11</f>
        <v>1.0003399351573681</v>
      </c>
      <c r="U11" s="23"/>
      <c r="V11" s="23" t="str">
        <f>IF(T11&gt;1.2,"IRREGULAR","REGULAR")</f>
        <v>REGULAR</v>
      </c>
      <c r="W11" s="23"/>
      <c r="X11" s="23" t="str">
        <f>IF(T11&gt;1.4,"IRREGULAR","REGULAR")</f>
        <v>REGULAR</v>
      </c>
      <c r="Y11" s="23"/>
    </row>
    <row r="13" spans="2:25" x14ac:dyDescent="0.3">
      <c r="B13" s="65" t="s">
        <v>85</v>
      </c>
      <c r="C13" s="65"/>
      <c r="D13" s="65"/>
      <c r="E13" s="65"/>
      <c r="F13" s="65"/>
      <c r="G13" s="65"/>
      <c r="H13" s="65"/>
      <c r="I13" s="65"/>
      <c r="J13" s="12"/>
      <c r="K13" s="11"/>
      <c r="L13" s="11"/>
      <c r="M13" s="11"/>
      <c r="N13" s="11"/>
      <c r="O13" s="11"/>
    </row>
    <row r="14" spans="2:25" x14ac:dyDescent="0.3">
      <c r="B14" s="65"/>
      <c r="C14" s="65"/>
      <c r="D14" s="65"/>
      <c r="E14" s="65"/>
      <c r="F14" s="65"/>
      <c r="G14" s="65"/>
      <c r="H14" s="65"/>
      <c r="I14" s="65"/>
      <c r="J14" s="12"/>
      <c r="K14" s="11"/>
      <c r="L14" s="11"/>
      <c r="M14" s="11"/>
      <c r="N14" s="11"/>
      <c r="O14" s="11"/>
    </row>
    <row r="15" spans="2:25" x14ac:dyDescent="0.3">
      <c r="B15" s="13"/>
      <c r="C15" s="13"/>
      <c r="D15" s="13"/>
      <c r="E15" s="13"/>
      <c r="F15" s="13"/>
      <c r="G15" s="13"/>
      <c r="H15" s="13"/>
      <c r="I15" s="13"/>
      <c r="J15" s="12"/>
      <c r="K15" s="11"/>
      <c r="L15" s="11"/>
      <c r="M15" s="11"/>
      <c r="N15" s="11"/>
      <c r="O15" s="11"/>
    </row>
    <row r="16" spans="2:25" x14ac:dyDescent="0.3">
      <c r="B16" s="62" t="s">
        <v>91</v>
      </c>
      <c r="C16" s="62"/>
      <c r="D16" s="62"/>
      <c r="E16" s="62"/>
      <c r="F16" s="62"/>
      <c r="G16" s="62"/>
      <c r="H16" s="62"/>
      <c r="I16" s="12"/>
      <c r="J16" s="12"/>
      <c r="K16" s="11"/>
      <c r="L16" s="11"/>
      <c r="M16" s="62" t="s">
        <v>92</v>
      </c>
      <c r="N16" s="62"/>
      <c r="O16" s="62"/>
      <c r="P16" s="62"/>
      <c r="Q16" s="62"/>
      <c r="R16" s="62"/>
      <c r="S16" s="62"/>
    </row>
    <row r="17" spans="2:19" ht="14.4" customHeight="1" x14ac:dyDescent="0.3">
      <c r="B17" s="59" t="s">
        <v>27</v>
      </c>
      <c r="C17" s="63" t="s">
        <v>86</v>
      </c>
      <c r="D17" s="63" t="s">
        <v>87</v>
      </c>
      <c r="E17" s="59" t="s">
        <v>88</v>
      </c>
      <c r="F17" s="59" t="s">
        <v>21</v>
      </c>
      <c r="G17" s="63" t="s">
        <v>89</v>
      </c>
      <c r="H17" s="64" t="s">
        <v>90</v>
      </c>
      <c r="M17" s="20" t="s">
        <v>27</v>
      </c>
      <c r="N17" s="26" t="s">
        <v>86</v>
      </c>
      <c r="O17" s="26" t="s">
        <v>87</v>
      </c>
      <c r="P17" s="20" t="s">
        <v>88</v>
      </c>
      <c r="Q17" s="20" t="s">
        <v>21</v>
      </c>
      <c r="R17" s="26" t="s">
        <v>89</v>
      </c>
      <c r="S17" s="27" t="s">
        <v>90</v>
      </c>
    </row>
    <row r="18" spans="2:19" x14ac:dyDescent="0.3">
      <c r="B18" s="59"/>
      <c r="C18" s="63"/>
      <c r="D18" s="63"/>
      <c r="E18" s="59"/>
      <c r="F18" s="59"/>
      <c r="G18" s="63"/>
      <c r="H18" s="64"/>
      <c r="M18" s="20"/>
      <c r="N18" s="26"/>
      <c r="O18" s="26"/>
      <c r="P18" s="20"/>
      <c r="Q18" s="20"/>
      <c r="R18" s="26"/>
      <c r="S18" s="27"/>
    </row>
    <row r="19" spans="2:19" x14ac:dyDescent="0.3">
      <c r="B19" s="59"/>
      <c r="C19" s="63"/>
      <c r="D19" s="63"/>
      <c r="E19" s="59"/>
      <c r="F19" s="59"/>
      <c r="G19" s="63"/>
      <c r="H19" s="64"/>
      <c r="M19" s="20"/>
      <c r="N19" s="26"/>
      <c r="O19" s="26"/>
      <c r="P19" s="20"/>
      <c r="Q19" s="20"/>
      <c r="R19" s="26"/>
      <c r="S19" s="27"/>
    </row>
    <row r="20" spans="2:19" ht="27" customHeight="1" x14ac:dyDescent="0.3">
      <c r="B20" s="14" t="s">
        <v>36</v>
      </c>
      <c r="C20" s="15">
        <v>3.0569980000000001</v>
      </c>
      <c r="D20" s="15">
        <v>2.9051819999999999</v>
      </c>
      <c r="E20" s="16">
        <f>(C20/(1.2*D20))^2</f>
        <v>0.76891994768771565</v>
      </c>
      <c r="F20" s="16" t="str">
        <f>IF(E20&lt;=3,"OK","DYNAMIC ANALYSIS NEEDED")</f>
        <v>OK</v>
      </c>
      <c r="G20" s="16">
        <f>0.05*E20</f>
        <v>3.8445997384385783E-2</v>
      </c>
      <c r="H20" s="59">
        <f>MAX(G20:G32)</f>
        <v>5.0552679732961063E-2</v>
      </c>
      <c r="M20" s="14" t="s">
        <v>36</v>
      </c>
      <c r="N20" s="6">
        <v>0</v>
      </c>
      <c r="O20" s="6">
        <v>0</v>
      </c>
      <c r="P20" s="10" t="e">
        <f>(N20/(1.2*O20))^2</f>
        <v>#DIV/0!</v>
      </c>
      <c r="Q20" s="10" t="e">
        <f>IF(P20&lt;=3,"OK","DYNAMIC ANALYSIS NEEDED")</f>
        <v>#DIV/0!</v>
      </c>
      <c r="R20" s="10" t="e">
        <f>0.05*P20</f>
        <v>#DIV/0!</v>
      </c>
      <c r="S20" s="20" t="e">
        <f>MAX(R20:R32)</f>
        <v>#DIV/0!</v>
      </c>
    </row>
    <row r="21" spans="2:19" x14ac:dyDescent="0.3">
      <c r="B21" s="15" t="s">
        <v>37</v>
      </c>
      <c r="C21" s="15">
        <v>3.3322799999999999</v>
      </c>
      <c r="D21" s="15">
        <v>2.7658140000000002</v>
      </c>
      <c r="E21" s="16">
        <f t="shared" ref="E21:E30" si="0">(C21/(1.2*D21))^2</f>
        <v>1.0080325123681595</v>
      </c>
      <c r="F21" s="16" t="str">
        <f t="shared" ref="F21:F32" si="1">IF(E21&lt;=3,"OK","DYNAMIC ANALYSIS NEEDED")</f>
        <v>OK</v>
      </c>
      <c r="G21" s="16">
        <f t="shared" ref="G21:G32" si="2">0.05*E21</f>
        <v>5.0401625618407976E-2</v>
      </c>
      <c r="H21" s="59"/>
      <c r="M21" s="6" t="s">
        <v>37</v>
      </c>
      <c r="N21" s="6">
        <v>0</v>
      </c>
      <c r="O21" s="6">
        <v>0</v>
      </c>
      <c r="P21" s="10" t="e">
        <f t="shared" ref="P21:P30" si="3">(N21/(1.2*O21))^2</f>
        <v>#DIV/0!</v>
      </c>
      <c r="Q21" s="10" t="e">
        <f t="shared" ref="Q21:Q32" si="4">IF(P21&lt;=3,"OK","DYNAMIC ANALYSIS NEEDED")</f>
        <v>#DIV/0!</v>
      </c>
      <c r="R21" s="10" t="e">
        <f t="shared" ref="R21:R32" si="5">0.05*P21</f>
        <v>#DIV/0!</v>
      </c>
      <c r="S21" s="20"/>
    </row>
    <row r="22" spans="2:19" x14ac:dyDescent="0.3">
      <c r="B22" s="15" t="s">
        <v>38</v>
      </c>
      <c r="C22" s="15">
        <v>3.137308</v>
      </c>
      <c r="D22" s="15">
        <v>2.6032540000000002</v>
      </c>
      <c r="E22" s="16">
        <f t="shared" si="0"/>
        <v>1.0085994639787166</v>
      </c>
      <c r="F22" s="16" t="str">
        <f t="shared" si="1"/>
        <v>OK</v>
      </c>
      <c r="G22" s="16">
        <f t="shared" si="2"/>
        <v>5.0429973198935829E-2</v>
      </c>
      <c r="H22" s="59"/>
      <c r="M22" s="6" t="s">
        <v>38</v>
      </c>
      <c r="N22" s="6">
        <v>0</v>
      </c>
      <c r="O22" s="6">
        <v>0</v>
      </c>
      <c r="P22" s="10" t="e">
        <f t="shared" si="3"/>
        <v>#DIV/0!</v>
      </c>
      <c r="Q22" s="10" t="e">
        <f t="shared" si="4"/>
        <v>#DIV/0!</v>
      </c>
      <c r="R22" s="10" t="e">
        <f t="shared" si="5"/>
        <v>#DIV/0!</v>
      </c>
      <c r="S22" s="20"/>
    </row>
    <row r="23" spans="2:19" x14ac:dyDescent="0.3">
      <c r="B23" s="15" t="s">
        <v>39</v>
      </c>
      <c r="C23" s="15">
        <v>2.8948749999999999</v>
      </c>
      <c r="D23" s="15">
        <v>2.4001739999999998</v>
      </c>
      <c r="E23" s="16">
        <f t="shared" si="0"/>
        <v>1.0102100518513197</v>
      </c>
      <c r="F23" s="16" t="str">
        <f t="shared" si="1"/>
        <v>OK</v>
      </c>
      <c r="G23" s="16">
        <f t="shared" si="2"/>
        <v>5.0510502592565988E-2</v>
      </c>
      <c r="H23" s="59"/>
      <c r="M23" s="6" t="s">
        <v>39</v>
      </c>
      <c r="N23" s="6">
        <v>0</v>
      </c>
      <c r="O23" s="6">
        <v>0</v>
      </c>
      <c r="P23" s="10" t="e">
        <f t="shared" si="3"/>
        <v>#DIV/0!</v>
      </c>
      <c r="Q23" s="10" t="e">
        <f t="shared" si="4"/>
        <v>#DIV/0!</v>
      </c>
      <c r="R23" s="10" t="e">
        <f t="shared" si="5"/>
        <v>#DIV/0!</v>
      </c>
      <c r="S23" s="20"/>
    </row>
    <row r="24" spans="2:19" x14ac:dyDescent="0.3">
      <c r="B24" s="15" t="s">
        <v>40</v>
      </c>
      <c r="C24" s="15">
        <v>2.6072549999999999</v>
      </c>
      <c r="D24" s="15">
        <v>2.160803</v>
      </c>
      <c r="E24" s="16">
        <f t="shared" si="0"/>
        <v>1.0110535946592212</v>
      </c>
      <c r="F24" s="16" t="str">
        <f t="shared" si="1"/>
        <v>OK</v>
      </c>
      <c r="G24" s="16">
        <f t="shared" si="2"/>
        <v>5.0552679732961063E-2</v>
      </c>
      <c r="H24" s="59"/>
      <c r="M24" s="6" t="s">
        <v>40</v>
      </c>
      <c r="N24" s="6">
        <v>0</v>
      </c>
      <c r="O24" s="6">
        <v>0</v>
      </c>
      <c r="P24" s="10" t="e">
        <f t="shared" si="3"/>
        <v>#DIV/0!</v>
      </c>
      <c r="Q24" s="10" t="e">
        <f t="shared" si="4"/>
        <v>#DIV/0!</v>
      </c>
      <c r="R24" s="10" t="e">
        <f t="shared" si="5"/>
        <v>#DIV/0!</v>
      </c>
      <c r="S24" s="20"/>
    </row>
    <row r="25" spans="2:19" x14ac:dyDescent="0.3">
      <c r="B25" s="15" t="s">
        <v>41</v>
      </c>
      <c r="C25" s="15">
        <v>2.2763360000000001</v>
      </c>
      <c r="D25" s="15">
        <v>1.8873200000000001</v>
      </c>
      <c r="E25" s="16">
        <f t="shared" si="0"/>
        <v>1.0102274315649054</v>
      </c>
      <c r="F25" s="16" t="str">
        <f t="shared" si="1"/>
        <v>OK</v>
      </c>
      <c r="G25" s="16">
        <f t="shared" si="2"/>
        <v>5.051137157824527E-2</v>
      </c>
      <c r="H25" s="59"/>
      <c r="M25" s="6" t="s">
        <v>41</v>
      </c>
      <c r="N25" s="6">
        <v>0</v>
      </c>
      <c r="O25" s="6">
        <v>0</v>
      </c>
      <c r="P25" s="10" t="e">
        <f t="shared" si="3"/>
        <v>#DIV/0!</v>
      </c>
      <c r="Q25" s="10" t="e">
        <f t="shared" si="4"/>
        <v>#DIV/0!</v>
      </c>
      <c r="R25" s="10" t="e">
        <f t="shared" si="5"/>
        <v>#DIV/0!</v>
      </c>
      <c r="S25" s="20"/>
    </row>
    <row r="26" spans="2:19" x14ac:dyDescent="0.3">
      <c r="B26" s="15" t="s">
        <v>42</v>
      </c>
      <c r="C26" s="15">
        <v>1.909621</v>
      </c>
      <c r="D26" s="15">
        <v>1.5858829999999999</v>
      </c>
      <c r="E26" s="16">
        <f t="shared" si="0"/>
        <v>1.0069075201334663</v>
      </c>
      <c r="F26" s="16" t="str">
        <f t="shared" si="1"/>
        <v>OK</v>
      </c>
      <c r="G26" s="16">
        <f t="shared" si="2"/>
        <v>5.0345376006673319E-2</v>
      </c>
      <c r="H26" s="59"/>
      <c r="M26" s="6" t="s">
        <v>42</v>
      </c>
      <c r="N26" s="6">
        <v>0</v>
      </c>
      <c r="O26" s="6">
        <v>0</v>
      </c>
      <c r="P26" s="10" t="e">
        <f t="shared" si="3"/>
        <v>#DIV/0!</v>
      </c>
      <c r="Q26" s="10" t="e">
        <f t="shared" si="4"/>
        <v>#DIV/0!</v>
      </c>
      <c r="R26" s="10" t="e">
        <f t="shared" si="5"/>
        <v>#DIV/0!</v>
      </c>
      <c r="S26" s="20"/>
    </row>
    <row r="27" spans="2:19" x14ac:dyDescent="0.3">
      <c r="B27" s="15" t="s">
        <v>43</v>
      </c>
      <c r="C27" s="15">
        <v>1.5185709999999999</v>
      </c>
      <c r="D27" s="15">
        <v>1.265714</v>
      </c>
      <c r="E27" s="16">
        <f t="shared" si="0"/>
        <v>0.99962369973151377</v>
      </c>
      <c r="F27" s="16" t="str">
        <f t="shared" si="1"/>
        <v>OK</v>
      </c>
      <c r="G27" s="16">
        <f t="shared" si="2"/>
        <v>4.9981184986575694E-2</v>
      </c>
      <c r="H27" s="59"/>
      <c r="M27" s="6" t="s">
        <v>43</v>
      </c>
      <c r="N27" s="6">
        <v>0</v>
      </c>
      <c r="O27" s="6">
        <v>0</v>
      </c>
      <c r="P27" s="10" t="e">
        <f t="shared" si="3"/>
        <v>#DIV/0!</v>
      </c>
      <c r="Q27" s="10" t="e">
        <f t="shared" si="4"/>
        <v>#DIV/0!</v>
      </c>
      <c r="R27" s="10" t="e">
        <f t="shared" si="5"/>
        <v>#DIV/0!</v>
      </c>
      <c r="S27" s="20"/>
    </row>
    <row r="28" spans="2:19" x14ac:dyDescent="0.3">
      <c r="B28" s="15" t="s">
        <v>44</v>
      </c>
      <c r="C28" s="15">
        <v>1.1185400000000001</v>
      </c>
      <c r="D28" s="15">
        <v>0.93859099999999995</v>
      </c>
      <c r="E28" s="16">
        <f t="shared" si="0"/>
        <v>0.98625172500040215</v>
      </c>
      <c r="F28" s="16" t="str">
        <f t="shared" si="1"/>
        <v>OK</v>
      </c>
      <c r="G28" s="16">
        <f t="shared" si="2"/>
        <v>4.9312586250020107E-2</v>
      </c>
      <c r="H28" s="59"/>
      <c r="M28" s="6" t="s">
        <v>44</v>
      </c>
      <c r="N28" s="6">
        <v>0</v>
      </c>
      <c r="O28" s="6">
        <v>0</v>
      </c>
      <c r="P28" s="10" t="e">
        <f t="shared" si="3"/>
        <v>#DIV/0!</v>
      </c>
      <c r="Q28" s="10" t="e">
        <f t="shared" si="4"/>
        <v>#DIV/0!</v>
      </c>
      <c r="R28" s="10" t="e">
        <f t="shared" si="5"/>
        <v>#DIV/0!</v>
      </c>
      <c r="S28" s="20"/>
    </row>
    <row r="29" spans="2:19" x14ac:dyDescent="0.3">
      <c r="B29" s="15" t="s">
        <v>45</v>
      </c>
      <c r="C29" s="15">
        <v>0.73137200000000002</v>
      </c>
      <c r="D29" s="15">
        <v>0.62102000000000002</v>
      </c>
      <c r="E29" s="16">
        <f t="shared" si="0"/>
        <v>0.96317010297267469</v>
      </c>
      <c r="F29" s="16" t="str">
        <f t="shared" si="1"/>
        <v>OK</v>
      </c>
      <c r="G29" s="16">
        <f t="shared" si="2"/>
        <v>4.8158505148633735E-2</v>
      </c>
      <c r="H29" s="59"/>
      <c r="M29" s="6" t="s">
        <v>45</v>
      </c>
      <c r="N29" s="6">
        <v>0</v>
      </c>
      <c r="O29" s="6">
        <v>0</v>
      </c>
      <c r="P29" s="10" t="e">
        <f t="shared" si="3"/>
        <v>#DIV/0!</v>
      </c>
      <c r="Q29" s="10" t="e">
        <f t="shared" si="4"/>
        <v>#DIV/0!</v>
      </c>
      <c r="R29" s="10" t="e">
        <f t="shared" si="5"/>
        <v>#DIV/0!</v>
      </c>
      <c r="S29" s="20"/>
    </row>
    <row r="30" spans="2:19" x14ac:dyDescent="0.3">
      <c r="B30" s="15" t="s">
        <v>46</v>
      </c>
      <c r="C30" s="15">
        <v>0.38710099999999997</v>
      </c>
      <c r="D30" s="15">
        <v>0.33732400000000001</v>
      </c>
      <c r="E30" s="16">
        <f t="shared" si="0"/>
        <v>0.91451663831081886</v>
      </c>
      <c r="F30" s="16" t="str">
        <f t="shared" si="1"/>
        <v>OK</v>
      </c>
      <c r="G30" s="16">
        <f t="shared" si="2"/>
        <v>4.5725831915540943E-2</v>
      </c>
      <c r="H30" s="59"/>
      <c r="M30" s="6" t="s">
        <v>46</v>
      </c>
      <c r="N30" s="6">
        <v>0</v>
      </c>
      <c r="O30" s="6">
        <v>0</v>
      </c>
      <c r="P30" s="10" t="e">
        <f t="shared" si="3"/>
        <v>#DIV/0!</v>
      </c>
      <c r="Q30" s="10" t="e">
        <f t="shared" si="4"/>
        <v>#DIV/0!</v>
      </c>
      <c r="R30" s="10" t="e">
        <f t="shared" si="5"/>
        <v>#DIV/0!</v>
      </c>
      <c r="S30" s="20"/>
    </row>
    <row r="31" spans="2:19" ht="15.6" customHeight="1" x14ac:dyDescent="0.3">
      <c r="B31" s="14" t="s">
        <v>47</v>
      </c>
      <c r="C31" s="15">
        <v>0</v>
      </c>
      <c r="D31" s="15">
        <v>0</v>
      </c>
      <c r="E31" s="16">
        <v>0</v>
      </c>
      <c r="F31" s="16" t="str">
        <f t="shared" si="1"/>
        <v>OK</v>
      </c>
      <c r="G31" s="16">
        <f t="shared" si="2"/>
        <v>0</v>
      </c>
      <c r="H31" s="59"/>
      <c r="M31" s="14" t="s">
        <v>47</v>
      </c>
      <c r="N31" s="6">
        <v>0</v>
      </c>
      <c r="O31" s="6">
        <v>0</v>
      </c>
      <c r="P31" s="10">
        <v>0</v>
      </c>
      <c r="Q31" s="10" t="str">
        <f t="shared" si="4"/>
        <v>OK</v>
      </c>
      <c r="R31" s="10">
        <f t="shared" si="5"/>
        <v>0</v>
      </c>
      <c r="S31" s="20"/>
    </row>
    <row r="32" spans="2:19" ht="16.8" customHeight="1" x14ac:dyDescent="0.3">
      <c r="B32" s="14" t="s">
        <v>48</v>
      </c>
      <c r="C32" s="15">
        <v>0</v>
      </c>
      <c r="D32" s="15">
        <v>0</v>
      </c>
      <c r="E32" s="16">
        <v>0</v>
      </c>
      <c r="F32" s="16" t="str">
        <f t="shared" si="1"/>
        <v>OK</v>
      </c>
      <c r="G32" s="16">
        <f t="shared" si="2"/>
        <v>0</v>
      </c>
      <c r="H32" s="59"/>
      <c r="M32" s="14" t="s">
        <v>48</v>
      </c>
      <c r="N32" s="6">
        <v>0</v>
      </c>
      <c r="O32" s="6">
        <v>0</v>
      </c>
      <c r="P32" s="10">
        <v>0</v>
      </c>
      <c r="Q32" s="10" t="str">
        <f t="shared" si="4"/>
        <v>OK</v>
      </c>
      <c r="R32" s="10">
        <f t="shared" si="5"/>
        <v>0</v>
      </c>
      <c r="S32" s="20"/>
    </row>
    <row r="37" spans="2:19" x14ac:dyDescent="0.3">
      <c r="B37" s="62" t="s">
        <v>93</v>
      </c>
      <c r="C37" s="62"/>
      <c r="D37" s="62"/>
      <c r="E37" s="62"/>
      <c r="F37" s="62"/>
      <c r="G37" s="62"/>
      <c r="H37" s="62"/>
      <c r="M37" s="62" t="s">
        <v>94</v>
      </c>
      <c r="N37" s="62"/>
      <c r="O37" s="62"/>
      <c r="P37" s="62"/>
      <c r="Q37" s="62"/>
      <c r="R37" s="62"/>
      <c r="S37" s="62"/>
    </row>
    <row r="38" spans="2:19" x14ac:dyDescent="0.3">
      <c r="B38" s="20" t="s">
        <v>27</v>
      </c>
      <c r="C38" s="26" t="s">
        <v>86</v>
      </c>
      <c r="D38" s="26" t="s">
        <v>87</v>
      </c>
      <c r="E38" s="20" t="s">
        <v>88</v>
      </c>
      <c r="F38" s="20" t="s">
        <v>21</v>
      </c>
      <c r="G38" s="26" t="s">
        <v>89</v>
      </c>
      <c r="H38" s="27" t="s">
        <v>90</v>
      </c>
      <c r="M38" s="20" t="s">
        <v>27</v>
      </c>
      <c r="N38" s="26" t="s">
        <v>86</v>
      </c>
      <c r="O38" s="26" t="s">
        <v>87</v>
      </c>
      <c r="P38" s="20" t="s">
        <v>88</v>
      </c>
      <c r="Q38" s="20" t="s">
        <v>21</v>
      </c>
      <c r="R38" s="26" t="s">
        <v>89</v>
      </c>
      <c r="S38" s="27" t="s">
        <v>90</v>
      </c>
    </row>
    <row r="39" spans="2:19" x14ac:dyDescent="0.3">
      <c r="B39" s="20"/>
      <c r="C39" s="26"/>
      <c r="D39" s="26"/>
      <c r="E39" s="20"/>
      <c r="F39" s="20"/>
      <c r="G39" s="26"/>
      <c r="H39" s="27"/>
      <c r="M39" s="20"/>
      <c r="N39" s="26"/>
      <c r="O39" s="26"/>
      <c r="P39" s="20"/>
      <c r="Q39" s="20"/>
      <c r="R39" s="26"/>
      <c r="S39" s="27"/>
    </row>
    <row r="40" spans="2:19" x14ac:dyDescent="0.3">
      <c r="B40" s="20"/>
      <c r="C40" s="26"/>
      <c r="D40" s="26"/>
      <c r="E40" s="20"/>
      <c r="F40" s="20"/>
      <c r="G40" s="26"/>
      <c r="H40" s="27"/>
      <c r="M40" s="20"/>
      <c r="N40" s="26"/>
      <c r="O40" s="26"/>
      <c r="P40" s="20"/>
      <c r="Q40" s="20"/>
      <c r="R40" s="26"/>
      <c r="S40" s="27"/>
    </row>
    <row r="41" spans="2:19" ht="20.399999999999999" x14ac:dyDescent="0.3">
      <c r="B41" s="14" t="s">
        <v>36</v>
      </c>
      <c r="C41" s="6">
        <v>0</v>
      </c>
      <c r="D41" s="6">
        <v>0</v>
      </c>
      <c r="E41" s="10" t="e">
        <f>(C41/(1.2*D41))^2</f>
        <v>#DIV/0!</v>
      </c>
      <c r="F41" s="10" t="e">
        <f>IF(E41&lt;=3,"OK","DYNAMIC ANALYSIS NEEDED")</f>
        <v>#DIV/0!</v>
      </c>
      <c r="G41" s="10" t="e">
        <f>0.05*E41</f>
        <v>#DIV/0!</v>
      </c>
      <c r="H41" s="20" t="e">
        <f>MAX(G41:G53)</f>
        <v>#DIV/0!</v>
      </c>
      <c r="M41" s="14" t="s">
        <v>36</v>
      </c>
      <c r="N41" s="6">
        <v>4.4747539999999999</v>
      </c>
      <c r="O41" s="6">
        <v>4.4366009999999996</v>
      </c>
      <c r="P41" s="10">
        <f>(N41/(1.2*O41))^2</f>
        <v>0.70643969157400166</v>
      </c>
      <c r="Q41" s="10" t="str">
        <f>IF(P41&lt;=3,"OK","DYNAMIC ANALYSIS NEEDED")</f>
        <v>OK</v>
      </c>
      <c r="R41" s="10">
        <f>0.05*P41</f>
        <v>3.5321984578700082E-2</v>
      </c>
      <c r="S41" s="20">
        <f>MAX(R41:R53)</f>
        <v>3.7529495031845911E-2</v>
      </c>
    </row>
    <row r="42" spans="2:19" x14ac:dyDescent="0.3">
      <c r="B42" s="6" t="s">
        <v>37</v>
      </c>
      <c r="C42" s="6">
        <v>0</v>
      </c>
      <c r="D42" s="6">
        <v>0</v>
      </c>
      <c r="E42" s="10" t="e">
        <f t="shared" ref="E42:E51" si="6">(C42/(1.2*D42))^2</f>
        <v>#DIV/0!</v>
      </c>
      <c r="F42" s="10" t="e">
        <f t="shared" ref="F42:F53" si="7">IF(E42&lt;=3,"OK","DYNAMIC ANALYSIS NEEDED")</f>
        <v>#DIV/0!</v>
      </c>
      <c r="G42" s="10" t="e">
        <f t="shared" ref="G42:G53" si="8">0.05*E42</f>
        <v>#DIV/0!</v>
      </c>
      <c r="H42" s="20"/>
      <c r="M42" s="6" t="s">
        <v>37</v>
      </c>
      <c r="N42" s="6">
        <v>4.2119099999999996</v>
      </c>
      <c r="O42" s="6">
        <v>4.1837419999999996</v>
      </c>
      <c r="P42" s="10">
        <f t="shared" ref="P42:P51" si="9">(N42/(1.2*O42))^2</f>
        <v>0.70382693549603592</v>
      </c>
      <c r="Q42" s="10" t="str">
        <f t="shared" ref="Q42:Q53" si="10">IF(P42&lt;=3,"OK","DYNAMIC ANALYSIS NEEDED")</f>
        <v>OK</v>
      </c>
      <c r="R42" s="10">
        <f t="shared" ref="R42:R53" si="11">0.05*P42</f>
        <v>3.5191346774801797E-2</v>
      </c>
      <c r="S42" s="20"/>
    </row>
    <row r="43" spans="2:19" x14ac:dyDescent="0.3">
      <c r="B43" s="6" t="s">
        <v>38</v>
      </c>
      <c r="C43" s="6">
        <v>0</v>
      </c>
      <c r="D43" s="6">
        <v>0</v>
      </c>
      <c r="E43" s="10" t="e">
        <f t="shared" si="6"/>
        <v>#DIV/0!</v>
      </c>
      <c r="F43" s="10" t="e">
        <f t="shared" si="7"/>
        <v>#DIV/0!</v>
      </c>
      <c r="G43" s="10" t="e">
        <f t="shared" si="8"/>
        <v>#DIV/0!</v>
      </c>
      <c r="H43" s="20"/>
      <c r="M43" s="6" t="s">
        <v>38</v>
      </c>
      <c r="N43" s="6">
        <v>3.9062070000000002</v>
      </c>
      <c r="O43" s="6">
        <v>3.878037</v>
      </c>
      <c r="P43" s="10">
        <f t="shared" si="9"/>
        <v>0.70456995425609914</v>
      </c>
      <c r="Q43" s="10" t="str">
        <f t="shared" si="10"/>
        <v>OK</v>
      </c>
      <c r="R43" s="10">
        <f t="shared" si="11"/>
        <v>3.5228497712804958E-2</v>
      </c>
      <c r="S43" s="20"/>
    </row>
    <row r="44" spans="2:19" x14ac:dyDescent="0.3">
      <c r="B44" s="6" t="s">
        <v>39</v>
      </c>
      <c r="C44" s="6">
        <v>0</v>
      </c>
      <c r="D44" s="6">
        <v>0</v>
      </c>
      <c r="E44" s="10" t="e">
        <f t="shared" si="6"/>
        <v>#DIV/0!</v>
      </c>
      <c r="F44" s="10" t="e">
        <f t="shared" si="7"/>
        <v>#DIV/0!</v>
      </c>
      <c r="G44" s="10" t="e">
        <f t="shared" si="8"/>
        <v>#DIV/0!</v>
      </c>
      <c r="H44" s="20"/>
      <c r="M44" s="6" t="s">
        <v>39</v>
      </c>
      <c r="N44" s="6">
        <v>3.5610539999999999</v>
      </c>
      <c r="O44" s="6">
        <v>3.5327839999999999</v>
      </c>
      <c r="P44" s="10">
        <f t="shared" si="9"/>
        <v>0.70560306251719307</v>
      </c>
      <c r="Q44" s="10" t="str">
        <f t="shared" si="10"/>
        <v>OK</v>
      </c>
      <c r="R44" s="10">
        <f t="shared" si="11"/>
        <v>3.5280153125859658E-2</v>
      </c>
      <c r="S44" s="20"/>
    </row>
    <row r="45" spans="2:19" x14ac:dyDescent="0.3">
      <c r="B45" s="6" t="s">
        <v>40</v>
      </c>
      <c r="C45" s="6">
        <v>0</v>
      </c>
      <c r="D45" s="6">
        <v>0</v>
      </c>
      <c r="E45" s="10" t="e">
        <f t="shared" si="6"/>
        <v>#DIV/0!</v>
      </c>
      <c r="F45" s="10" t="e">
        <f t="shared" si="7"/>
        <v>#DIV/0!</v>
      </c>
      <c r="G45" s="10" t="e">
        <f t="shared" si="8"/>
        <v>#DIV/0!</v>
      </c>
      <c r="H45" s="20"/>
      <c r="M45" s="6" t="s">
        <v>40</v>
      </c>
      <c r="N45" s="6">
        <v>3.1712950000000002</v>
      </c>
      <c r="O45" s="6">
        <v>3.1439270000000001</v>
      </c>
      <c r="P45" s="10">
        <f t="shared" si="9"/>
        <v>0.70658739660911862</v>
      </c>
      <c r="Q45" s="10" t="str">
        <f t="shared" si="10"/>
        <v>OK</v>
      </c>
      <c r="R45" s="10">
        <f t="shared" si="11"/>
        <v>3.5329369830455933E-2</v>
      </c>
      <c r="S45" s="20"/>
    </row>
    <row r="46" spans="2:19" x14ac:dyDescent="0.3">
      <c r="B46" s="6" t="s">
        <v>41</v>
      </c>
      <c r="C46" s="6">
        <v>0</v>
      </c>
      <c r="D46" s="6">
        <v>0</v>
      </c>
      <c r="E46" s="10" t="e">
        <f t="shared" si="6"/>
        <v>#DIV/0!</v>
      </c>
      <c r="F46" s="10" t="e">
        <f t="shared" si="7"/>
        <v>#DIV/0!</v>
      </c>
      <c r="G46" s="10" t="e">
        <f t="shared" si="8"/>
        <v>#DIV/0!</v>
      </c>
      <c r="H46" s="20"/>
      <c r="M46" s="6" t="s">
        <v>41</v>
      </c>
      <c r="N46" s="6">
        <v>2.741717</v>
      </c>
      <c r="O46" s="6">
        <v>2.7153849999999999</v>
      </c>
      <c r="P46" s="10">
        <f t="shared" si="9"/>
        <v>0.7079782706904425</v>
      </c>
      <c r="Q46" s="10" t="str">
        <f t="shared" si="10"/>
        <v>OK</v>
      </c>
      <c r="R46" s="10">
        <f t="shared" si="11"/>
        <v>3.5398913534522125E-2</v>
      </c>
      <c r="S46" s="20"/>
    </row>
    <row r="47" spans="2:19" x14ac:dyDescent="0.3">
      <c r="B47" s="6" t="s">
        <v>42</v>
      </c>
      <c r="C47" s="6">
        <v>0</v>
      </c>
      <c r="D47" s="6">
        <v>0</v>
      </c>
      <c r="E47" s="10" t="e">
        <f t="shared" si="6"/>
        <v>#DIV/0!</v>
      </c>
      <c r="F47" s="10" t="e">
        <f t="shared" si="7"/>
        <v>#DIV/0!</v>
      </c>
      <c r="G47" s="10" t="e">
        <f t="shared" si="8"/>
        <v>#DIV/0!</v>
      </c>
      <c r="H47" s="20"/>
      <c r="M47" s="6" t="s">
        <v>42</v>
      </c>
      <c r="N47" s="6">
        <v>2.280821</v>
      </c>
      <c r="O47" s="6">
        <v>2.2558669999999998</v>
      </c>
      <c r="P47" s="10">
        <f t="shared" si="9"/>
        <v>0.70989306153777476</v>
      </c>
      <c r="Q47" s="10" t="str">
        <f t="shared" si="10"/>
        <v>OK</v>
      </c>
      <c r="R47" s="10">
        <f t="shared" si="11"/>
        <v>3.5494653076888739E-2</v>
      </c>
      <c r="S47" s="20"/>
    </row>
    <row r="48" spans="2:19" x14ac:dyDescent="0.3">
      <c r="B48" s="6" t="s">
        <v>43</v>
      </c>
      <c r="C48" s="6">
        <v>0</v>
      </c>
      <c r="D48" s="6">
        <v>0</v>
      </c>
      <c r="E48" s="10" t="e">
        <f t="shared" si="6"/>
        <v>#DIV/0!</v>
      </c>
      <c r="F48" s="10" t="e">
        <f t="shared" si="7"/>
        <v>#DIV/0!</v>
      </c>
      <c r="G48" s="10" t="e">
        <f t="shared" si="8"/>
        <v>#DIV/0!</v>
      </c>
      <c r="H48" s="20"/>
      <c r="M48" s="6" t="s">
        <v>43</v>
      </c>
      <c r="N48" s="6">
        <v>1.802416</v>
      </c>
      <c r="O48" s="6">
        <v>1.779007</v>
      </c>
      <c r="P48" s="10">
        <f t="shared" si="9"/>
        <v>0.71284032893752003</v>
      </c>
      <c r="Q48" s="10" t="str">
        <f t="shared" si="10"/>
        <v>OK</v>
      </c>
      <c r="R48" s="10">
        <f t="shared" si="11"/>
        <v>3.5642016446876E-2</v>
      </c>
      <c r="S48" s="20"/>
    </row>
    <row r="49" spans="2:19" x14ac:dyDescent="0.3">
      <c r="B49" s="6" t="s">
        <v>44</v>
      </c>
      <c r="C49" s="6">
        <v>0</v>
      </c>
      <c r="D49" s="6">
        <v>0</v>
      </c>
      <c r="E49" s="10" t="e">
        <f t="shared" si="6"/>
        <v>#DIV/0!</v>
      </c>
      <c r="F49" s="10" t="e">
        <f t="shared" si="7"/>
        <v>#DIV/0!</v>
      </c>
      <c r="G49" s="10" t="e">
        <f t="shared" si="8"/>
        <v>#DIV/0!</v>
      </c>
      <c r="H49" s="20"/>
      <c r="M49" s="6" t="s">
        <v>44</v>
      </c>
      <c r="N49" s="6">
        <v>1.323582</v>
      </c>
      <c r="O49" s="6">
        <v>1.3021590000000001</v>
      </c>
      <c r="P49" s="10">
        <f t="shared" si="9"/>
        <v>0.71748227858926283</v>
      </c>
      <c r="Q49" s="10" t="str">
        <f t="shared" si="10"/>
        <v>OK</v>
      </c>
      <c r="R49" s="10">
        <f t="shared" si="11"/>
        <v>3.5874113929463144E-2</v>
      </c>
      <c r="S49" s="20"/>
    </row>
    <row r="50" spans="2:19" x14ac:dyDescent="0.3">
      <c r="B50" s="6" t="s">
        <v>45</v>
      </c>
      <c r="C50" s="6">
        <v>0</v>
      </c>
      <c r="D50" s="6">
        <v>0</v>
      </c>
      <c r="E50" s="10" t="e">
        <f t="shared" si="6"/>
        <v>#DIV/0!</v>
      </c>
      <c r="F50" s="10" t="e">
        <f t="shared" si="7"/>
        <v>#DIV/0!</v>
      </c>
      <c r="G50" s="10" t="e">
        <f t="shared" si="8"/>
        <v>#DIV/0!</v>
      </c>
      <c r="H50" s="20"/>
      <c r="M50" s="6" t="s">
        <v>45</v>
      </c>
      <c r="N50" s="6">
        <v>0.86692199999999997</v>
      </c>
      <c r="O50" s="6">
        <v>0.84778100000000001</v>
      </c>
      <c r="P50" s="10">
        <f t="shared" si="9"/>
        <v>0.72615644792731704</v>
      </c>
      <c r="Q50" s="10" t="str">
        <f t="shared" si="10"/>
        <v>OK</v>
      </c>
      <c r="R50" s="10">
        <f t="shared" si="11"/>
        <v>3.6307822396365853E-2</v>
      </c>
      <c r="S50" s="20"/>
    </row>
    <row r="51" spans="2:19" x14ac:dyDescent="0.3">
      <c r="B51" s="6" t="s">
        <v>46</v>
      </c>
      <c r="C51" s="6">
        <v>0</v>
      </c>
      <c r="D51" s="6">
        <v>0</v>
      </c>
      <c r="E51" s="10" t="e">
        <f t="shared" si="6"/>
        <v>#DIV/0!</v>
      </c>
      <c r="F51" s="10" t="e">
        <f t="shared" si="7"/>
        <v>#DIV/0!</v>
      </c>
      <c r="G51" s="10" t="e">
        <f t="shared" si="8"/>
        <v>#DIV/0!</v>
      </c>
      <c r="H51" s="20"/>
      <c r="M51" s="6" t="s">
        <v>46</v>
      </c>
      <c r="N51" s="6">
        <v>0.46459600000000001</v>
      </c>
      <c r="O51" s="6">
        <v>0.446882</v>
      </c>
      <c r="P51" s="10">
        <f t="shared" si="9"/>
        <v>0.75058990063691822</v>
      </c>
      <c r="Q51" s="10" t="str">
        <f t="shared" si="10"/>
        <v>OK</v>
      </c>
      <c r="R51" s="10">
        <f t="shared" si="11"/>
        <v>3.7529495031845911E-2</v>
      </c>
      <c r="S51" s="20"/>
    </row>
    <row r="52" spans="2:19" x14ac:dyDescent="0.3">
      <c r="B52" s="14" t="s">
        <v>47</v>
      </c>
      <c r="C52" s="6">
        <v>0</v>
      </c>
      <c r="D52" s="6">
        <v>0</v>
      </c>
      <c r="E52" s="10">
        <v>0</v>
      </c>
      <c r="F52" s="10" t="str">
        <f t="shared" si="7"/>
        <v>OK</v>
      </c>
      <c r="G52" s="10">
        <f t="shared" si="8"/>
        <v>0</v>
      </c>
      <c r="H52" s="20"/>
      <c r="M52" s="14" t="s">
        <v>47</v>
      </c>
      <c r="N52" s="6">
        <v>0</v>
      </c>
      <c r="O52" s="6">
        <v>0</v>
      </c>
      <c r="P52" s="10">
        <v>0</v>
      </c>
      <c r="Q52" s="10" t="str">
        <f t="shared" si="10"/>
        <v>OK</v>
      </c>
      <c r="R52" s="10">
        <f t="shared" si="11"/>
        <v>0</v>
      </c>
      <c r="S52" s="20"/>
    </row>
    <row r="53" spans="2:19" ht="20.399999999999999" x14ac:dyDescent="0.3">
      <c r="B53" s="14" t="s">
        <v>48</v>
      </c>
      <c r="C53" s="6">
        <v>0</v>
      </c>
      <c r="D53" s="6">
        <v>0</v>
      </c>
      <c r="E53" s="10">
        <v>0</v>
      </c>
      <c r="F53" s="10" t="str">
        <f t="shared" si="7"/>
        <v>OK</v>
      </c>
      <c r="G53" s="10">
        <f t="shared" si="8"/>
        <v>0</v>
      </c>
      <c r="H53" s="20"/>
      <c r="M53" s="14" t="s">
        <v>48</v>
      </c>
      <c r="N53" s="6">
        <v>0</v>
      </c>
      <c r="O53" s="6">
        <v>0</v>
      </c>
      <c r="P53" s="10">
        <v>0</v>
      </c>
      <c r="Q53" s="10" t="str">
        <f t="shared" si="10"/>
        <v>OK</v>
      </c>
      <c r="R53" s="10">
        <f t="shared" si="11"/>
        <v>0</v>
      </c>
      <c r="S53" s="20"/>
    </row>
  </sheetData>
  <mergeCells count="74">
    <mergeCell ref="R7:S9"/>
    <mergeCell ref="T7:U9"/>
    <mergeCell ref="V7:W9"/>
    <mergeCell ref="B3:I5"/>
    <mergeCell ref="B13:I14"/>
    <mergeCell ref="P11:Q11"/>
    <mergeCell ref="R11:S11"/>
    <mergeCell ref="D10:E10"/>
    <mergeCell ref="F10:G10"/>
    <mergeCell ref="H10:I10"/>
    <mergeCell ref="J10:K10"/>
    <mergeCell ref="L10:M10"/>
    <mergeCell ref="D11:E11"/>
    <mergeCell ref="F11:G11"/>
    <mergeCell ref="H11:I11"/>
    <mergeCell ref="J11:K11"/>
    <mergeCell ref="X7:Y9"/>
    <mergeCell ref="B10:C10"/>
    <mergeCell ref="B11:C11"/>
    <mergeCell ref="N10:O10"/>
    <mergeCell ref="P10:Q10"/>
    <mergeCell ref="R10:S10"/>
    <mergeCell ref="T10:U10"/>
    <mergeCell ref="D7:E9"/>
    <mergeCell ref="B7:C9"/>
    <mergeCell ref="F7:G9"/>
    <mergeCell ref="H7:I9"/>
    <mergeCell ref="J7:K9"/>
    <mergeCell ref="L7:M9"/>
    <mergeCell ref="N7:O9"/>
    <mergeCell ref="P7:Q9"/>
    <mergeCell ref="N11:O11"/>
    <mergeCell ref="L11:M11"/>
    <mergeCell ref="T11:U11"/>
    <mergeCell ref="V11:W11"/>
    <mergeCell ref="X11:Y11"/>
    <mergeCell ref="V10:W10"/>
    <mergeCell ref="X10:Y10"/>
    <mergeCell ref="B16:H16"/>
    <mergeCell ref="M16:S16"/>
    <mergeCell ref="M17:M19"/>
    <mergeCell ref="N17:N19"/>
    <mergeCell ref="O17:O19"/>
    <mergeCell ref="P17:P19"/>
    <mergeCell ref="Q17:Q19"/>
    <mergeCell ref="R17:R19"/>
    <mergeCell ref="F17:F19"/>
    <mergeCell ref="G17:G19"/>
    <mergeCell ref="C17:C19"/>
    <mergeCell ref="B17:B19"/>
    <mergeCell ref="D17:D19"/>
    <mergeCell ref="E17:E19"/>
    <mergeCell ref="H17:H19"/>
    <mergeCell ref="S17:S19"/>
    <mergeCell ref="S20:S32"/>
    <mergeCell ref="B37:H37"/>
    <mergeCell ref="B38:B40"/>
    <mergeCell ref="C38:C40"/>
    <mergeCell ref="D38:D40"/>
    <mergeCell ref="E38:E40"/>
    <mergeCell ref="F38:F40"/>
    <mergeCell ref="G38:G40"/>
    <mergeCell ref="H38:H40"/>
    <mergeCell ref="H20:H32"/>
    <mergeCell ref="H41:H53"/>
    <mergeCell ref="M37:S37"/>
    <mergeCell ref="M38:M40"/>
    <mergeCell ref="N38:N40"/>
    <mergeCell ref="O38:O40"/>
    <mergeCell ref="P38:P40"/>
    <mergeCell ref="Q38:Q40"/>
    <mergeCell ref="R38:R40"/>
    <mergeCell ref="S38:S40"/>
    <mergeCell ref="S41:S53"/>
  </mergeCells>
  <pageMargins left="0.7" right="0.7" top="0.75" bottom="0.75" header="0.3" footer="0.3"/>
  <pageSetup orientation="portrait" horizontalDpi="200" verticalDpi="20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DEBC-B608-4022-A5E5-76D1030E9665}">
  <dimension ref="B3:N43"/>
  <sheetViews>
    <sheetView tabSelected="1" workbookViewId="0">
      <selection activeCell="Q14" sqref="Q14"/>
    </sheetView>
  </sheetViews>
  <sheetFormatPr defaultRowHeight="14.4" x14ac:dyDescent="0.3"/>
  <sheetData>
    <row r="3" spans="2:14" x14ac:dyDescent="0.3">
      <c r="B3" s="24" t="s">
        <v>110</v>
      </c>
      <c r="C3" s="24"/>
      <c r="D3" s="24"/>
      <c r="E3" s="20"/>
      <c r="F3" s="20"/>
      <c r="G3" s="20"/>
      <c r="H3" s="20"/>
      <c r="I3" s="20"/>
    </row>
    <row r="4" spans="2:14" x14ac:dyDescent="0.3">
      <c r="B4" s="20"/>
      <c r="C4" s="20"/>
      <c r="D4" s="20"/>
      <c r="E4" s="20"/>
      <c r="F4" s="20"/>
      <c r="G4" s="20"/>
      <c r="H4" s="20"/>
      <c r="I4" s="20"/>
    </row>
    <row r="5" spans="2:14" x14ac:dyDescent="0.3">
      <c r="B5" s="20"/>
      <c r="C5" s="20"/>
      <c r="D5" s="20"/>
      <c r="E5" s="20"/>
      <c r="F5" s="20"/>
      <c r="G5" s="20"/>
      <c r="H5" s="20"/>
      <c r="I5" s="20"/>
    </row>
    <row r="8" spans="2:14" x14ac:dyDescent="0.3">
      <c r="B8" s="73" t="s">
        <v>108</v>
      </c>
      <c r="C8" s="73"/>
      <c r="D8" s="73"/>
      <c r="E8" s="73"/>
    </row>
    <row r="9" spans="2:14" ht="14.4" customHeight="1" x14ac:dyDescent="0.3">
      <c r="B9" s="59" t="s">
        <v>27</v>
      </c>
      <c r="C9" s="20" t="s">
        <v>96</v>
      </c>
      <c r="D9" s="27" t="s">
        <v>97</v>
      </c>
      <c r="E9" s="69" t="s">
        <v>98</v>
      </c>
      <c r="F9" s="27" t="s">
        <v>99</v>
      </c>
      <c r="G9" s="27" t="s">
        <v>100</v>
      </c>
      <c r="H9" s="23" t="s">
        <v>101</v>
      </c>
      <c r="I9" s="68" t="s">
        <v>102</v>
      </c>
      <c r="J9" s="20" t="s">
        <v>103</v>
      </c>
      <c r="K9" s="27" t="s">
        <v>104</v>
      </c>
      <c r="L9" s="66" t="s">
        <v>106</v>
      </c>
      <c r="M9" s="66" t="s">
        <v>105</v>
      </c>
      <c r="N9" s="23" t="s">
        <v>21</v>
      </c>
    </row>
    <row r="10" spans="2:14" x14ac:dyDescent="0.3">
      <c r="B10" s="59"/>
      <c r="C10" s="20"/>
      <c r="D10" s="27"/>
      <c r="E10" s="69"/>
      <c r="F10" s="27"/>
      <c r="G10" s="27"/>
      <c r="H10" s="23"/>
      <c r="I10" s="23"/>
      <c r="J10" s="20"/>
      <c r="K10" s="27"/>
      <c r="L10" s="67"/>
      <c r="M10" s="67"/>
      <c r="N10" s="23"/>
    </row>
    <row r="11" spans="2:14" x14ac:dyDescent="0.3">
      <c r="B11" s="59"/>
      <c r="C11" s="20"/>
      <c r="D11" s="27"/>
      <c r="E11" s="69"/>
      <c r="F11" s="27"/>
      <c r="G11" s="27"/>
      <c r="H11" s="23"/>
      <c r="I11" s="23"/>
      <c r="J11" s="20"/>
      <c r="K11" s="27"/>
      <c r="L11" s="67"/>
      <c r="M11" s="67"/>
      <c r="N11" s="23"/>
    </row>
    <row r="12" spans="2:14" ht="20.399999999999999" x14ac:dyDescent="0.3">
      <c r="B12" s="14" t="s">
        <v>36</v>
      </c>
      <c r="C12" s="6">
        <v>10</v>
      </c>
      <c r="D12" s="10">
        <f>C12*12</f>
        <v>120</v>
      </c>
      <c r="E12" s="4">
        <v>184.607</v>
      </c>
      <c r="F12" s="4">
        <v>-26.515000000000001</v>
      </c>
      <c r="G12" s="4">
        <v>2.7422219999999999</v>
      </c>
      <c r="H12" s="10">
        <f>ABS(G12-G13)*J12/K12</f>
        <v>0.97169999999999979</v>
      </c>
      <c r="I12" s="10">
        <f>ABS((E12*H12)/(F12*D12*J12))</f>
        <v>1.1275543522534411E-2</v>
      </c>
      <c r="J12" s="6">
        <v>5</v>
      </c>
      <c r="K12" s="6">
        <v>1</v>
      </c>
      <c r="L12" s="6">
        <v>1</v>
      </c>
      <c r="M12" s="10">
        <f>0.5/(K12*J12)</f>
        <v>0.1</v>
      </c>
      <c r="N12" s="10" t="str">
        <f>IF(I12&lt;0.1,"No P delta","P delta")</f>
        <v>No P delta</v>
      </c>
    </row>
    <row r="13" spans="2:14" x14ac:dyDescent="0.3">
      <c r="B13" s="15" t="s">
        <v>37</v>
      </c>
      <c r="C13" s="6">
        <v>10</v>
      </c>
      <c r="D13" s="10">
        <f t="shared" ref="D13:D24" si="0">C13*12</f>
        <v>120</v>
      </c>
      <c r="E13" s="4">
        <v>1801.4159999999999</v>
      </c>
      <c r="F13" s="4">
        <v>-268.12799999999999</v>
      </c>
      <c r="G13" s="4">
        <v>2.9365619999999999</v>
      </c>
      <c r="H13" s="10">
        <f t="shared" ref="H13:H24" si="1">ABS(G13-G14)*J13/K13</f>
        <v>0.94157000000000046</v>
      </c>
      <c r="I13" s="10">
        <f t="shared" ref="I13:I23" si="2">ABS((E13*H13)/(F13*D13*J13))</f>
        <v>1.0543218556808695E-2</v>
      </c>
      <c r="J13" s="6">
        <v>5</v>
      </c>
      <c r="K13" s="6">
        <v>1</v>
      </c>
      <c r="L13" s="6">
        <v>1</v>
      </c>
      <c r="M13" s="10">
        <f t="shared" ref="M13:M24" si="3">0.5/(K13*J13)</f>
        <v>0.1</v>
      </c>
      <c r="N13" s="10" t="str">
        <f t="shared" ref="N13:N24" si="4">IF(I13&lt;0.1,"No P delta","P delta")</f>
        <v>No P delta</v>
      </c>
    </row>
    <row r="14" spans="2:14" x14ac:dyDescent="0.3">
      <c r="B14" s="15" t="s">
        <v>38</v>
      </c>
      <c r="C14" s="6">
        <v>10</v>
      </c>
      <c r="D14" s="10">
        <f t="shared" si="0"/>
        <v>120</v>
      </c>
      <c r="E14" s="4">
        <v>4151.701</v>
      </c>
      <c r="F14" s="4">
        <v>-550.94500000000005</v>
      </c>
      <c r="G14" s="4">
        <v>2.7482479999999998</v>
      </c>
      <c r="H14" s="10">
        <f t="shared" si="1"/>
        <v>1.1307099999999992</v>
      </c>
      <c r="I14" s="10">
        <f t="shared" si="2"/>
        <v>1.4200963307619925E-2</v>
      </c>
      <c r="J14" s="6">
        <v>5</v>
      </c>
      <c r="K14" s="6">
        <v>1</v>
      </c>
      <c r="L14" s="6">
        <v>1</v>
      </c>
      <c r="M14" s="10">
        <f t="shared" si="3"/>
        <v>0.1</v>
      </c>
      <c r="N14" s="10" t="str">
        <f t="shared" si="4"/>
        <v>No P delta</v>
      </c>
    </row>
    <row r="15" spans="2:14" x14ac:dyDescent="0.3">
      <c r="B15" s="15" t="s">
        <v>39</v>
      </c>
      <c r="C15" s="6">
        <v>10</v>
      </c>
      <c r="D15" s="10">
        <f t="shared" si="0"/>
        <v>120</v>
      </c>
      <c r="E15" s="4">
        <v>6501.9849999999997</v>
      </c>
      <c r="F15" s="4">
        <v>-795.90899999999999</v>
      </c>
      <c r="G15" s="4">
        <v>2.522106</v>
      </c>
      <c r="H15" s="10">
        <f t="shared" si="1"/>
        <v>1.3140599999999991</v>
      </c>
      <c r="I15" s="10">
        <f t="shared" si="2"/>
        <v>1.7891489288976489E-2</v>
      </c>
      <c r="J15" s="6">
        <v>5</v>
      </c>
      <c r="K15" s="6">
        <v>1</v>
      </c>
      <c r="L15" s="6">
        <v>1</v>
      </c>
      <c r="M15" s="10">
        <f t="shared" si="3"/>
        <v>0.1</v>
      </c>
      <c r="N15" s="10" t="str">
        <f t="shared" si="4"/>
        <v>No P delta</v>
      </c>
    </row>
    <row r="16" spans="2:14" x14ac:dyDescent="0.3">
      <c r="B16" s="15" t="s">
        <v>40</v>
      </c>
      <c r="C16" s="6">
        <v>10</v>
      </c>
      <c r="D16" s="10">
        <f t="shared" si="0"/>
        <v>120</v>
      </c>
      <c r="E16" s="4">
        <v>8852.27</v>
      </c>
      <c r="F16" s="4">
        <v>-1004.436</v>
      </c>
      <c r="G16" s="4">
        <v>2.2592940000000001</v>
      </c>
      <c r="H16" s="10">
        <f t="shared" si="1"/>
        <v>1.4881050000000007</v>
      </c>
      <c r="I16" s="10">
        <f t="shared" si="2"/>
        <v>2.1858215702394188E-2</v>
      </c>
      <c r="J16" s="6">
        <v>5</v>
      </c>
      <c r="K16" s="6">
        <v>1</v>
      </c>
      <c r="L16" s="6">
        <v>1</v>
      </c>
      <c r="M16" s="10">
        <f t="shared" si="3"/>
        <v>0.1</v>
      </c>
      <c r="N16" s="10" t="str">
        <f t="shared" si="4"/>
        <v>No P delta</v>
      </c>
    </row>
    <row r="17" spans="2:14" x14ac:dyDescent="0.3">
      <c r="B17" s="15" t="s">
        <v>41</v>
      </c>
      <c r="C17" s="6">
        <v>10</v>
      </c>
      <c r="D17" s="10">
        <f t="shared" si="0"/>
        <v>120</v>
      </c>
      <c r="E17" s="4">
        <v>11202.555</v>
      </c>
      <c r="F17" s="4">
        <v>-1178.0619999999999</v>
      </c>
      <c r="G17" s="4">
        <v>1.961673</v>
      </c>
      <c r="H17" s="10">
        <f t="shared" si="1"/>
        <v>1.6276250000000003</v>
      </c>
      <c r="I17" s="10">
        <f t="shared" si="2"/>
        <v>2.5795980434921938E-2</v>
      </c>
      <c r="J17" s="6">
        <v>5</v>
      </c>
      <c r="K17" s="6">
        <v>1</v>
      </c>
      <c r="L17" s="6">
        <v>1</v>
      </c>
      <c r="M17" s="10">
        <f t="shared" si="3"/>
        <v>0.1</v>
      </c>
      <c r="N17" s="10" t="str">
        <f t="shared" si="4"/>
        <v>No P delta</v>
      </c>
    </row>
    <row r="18" spans="2:14" x14ac:dyDescent="0.3">
      <c r="B18" s="15" t="s">
        <v>42</v>
      </c>
      <c r="C18" s="6">
        <v>10</v>
      </c>
      <c r="D18" s="10">
        <f t="shared" si="0"/>
        <v>120</v>
      </c>
      <c r="E18" s="4">
        <v>13552.839</v>
      </c>
      <c r="F18" s="4">
        <v>-1318.471</v>
      </c>
      <c r="G18" s="4">
        <v>1.6361479999999999</v>
      </c>
      <c r="H18" s="10">
        <f t="shared" si="1"/>
        <v>1.7180849999999992</v>
      </c>
      <c r="I18" s="10">
        <f t="shared" si="2"/>
        <v>2.9434258057647822E-2</v>
      </c>
      <c r="J18" s="6">
        <v>5</v>
      </c>
      <c r="K18" s="6">
        <v>1</v>
      </c>
      <c r="L18" s="6">
        <v>1</v>
      </c>
      <c r="M18" s="10">
        <f t="shared" si="3"/>
        <v>0.1</v>
      </c>
      <c r="N18" s="10" t="str">
        <f t="shared" si="4"/>
        <v>No P delta</v>
      </c>
    </row>
    <row r="19" spans="2:14" x14ac:dyDescent="0.3">
      <c r="B19" s="15" t="s">
        <v>43</v>
      </c>
      <c r="C19" s="6">
        <v>10</v>
      </c>
      <c r="D19" s="10">
        <f t="shared" si="0"/>
        <v>120</v>
      </c>
      <c r="E19" s="4">
        <v>15903.124</v>
      </c>
      <c r="F19" s="4">
        <v>-1427.5329999999999</v>
      </c>
      <c r="G19" s="4">
        <v>1.2925310000000001</v>
      </c>
      <c r="H19" s="10">
        <f t="shared" si="1"/>
        <v>1.7432500000000006</v>
      </c>
      <c r="I19" s="10">
        <f t="shared" si="2"/>
        <v>3.2367168760138426E-2</v>
      </c>
      <c r="J19" s="6">
        <v>5</v>
      </c>
      <c r="K19" s="6">
        <v>1</v>
      </c>
      <c r="L19" s="6">
        <v>1</v>
      </c>
      <c r="M19" s="10">
        <f t="shared" si="3"/>
        <v>0.1</v>
      </c>
      <c r="N19" s="10" t="str">
        <f t="shared" si="4"/>
        <v>No P delta</v>
      </c>
    </row>
    <row r="20" spans="2:14" x14ac:dyDescent="0.3">
      <c r="B20" s="15" t="s">
        <v>44</v>
      </c>
      <c r="C20" s="6">
        <v>10</v>
      </c>
      <c r="D20" s="10">
        <f t="shared" si="0"/>
        <v>120</v>
      </c>
      <c r="E20" s="4">
        <v>18253.407999999999</v>
      </c>
      <c r="F20" s="4">
        <v>-1507.374</v>
      </c>
      <c r="G20" s="4">
        <v>0.94388099999999997</v>
      </c>
      <c r="H20" s="10">
        <f t="shared" si="1"/>
        <v>1.6734850000000001</v>
      </c>
      <c r="I20" s="10">
        <f t="shared" si="2"/>
        <v>3.3774856678877752E-2</v>
      </c>
      <c r="J20" s="6">
        <v>5</v>
      </c>
      <c r="K20" s="6">
        <v>1</v>
      </c>
      <c r="L20" s="6">
        <v>1</v>
      </c>
      <c r="M20" s="10">
        <f t="shared" si="3"/>
        <v>0.1</v>
      </c>
      <c r="N20" s="10" t="str">
        <f t="shared" si="4"/>
        <v>No P delta</v>
      </c>
    </row>
    <row r="21" spans="2:14" x14ac:dyDescent="0.3">
      <c r="B21" s="15" t="s">
        <v>45</v>
      </c>
      <c r="C21" s="6">
        <v>10</v>
      </c>
      <c r="D21" s="10">
        <f t="shared" si="0"/>
        <v>120</v>
      </c>
      <c r="E21" s="4">
        <v>20603.692999999999</v>
      </c>
      <c r="F21" s="4">
        <v>-1560.4839999999999</v>
      </c>
      <c r="G21" s="4">
        <v>0.60918399999999995</v>
      </c>
      <c r="H21" s="10">
        <f t="shared" si="1"/>
        <v>1.4775599999999998</v>
      </c>
      <c r="I21" s="10">
        <f t="shared" si="2"/>
        <v>3.2514690558698447E-2</v>
      </c>
      <c r="J21" s="6">
        <v>5</v>
      </c>
      <c r="K21" s="6">
        <v>1</v>
      </c>
      <c r="L21" s="6">
        <v>1</v>
      </c>
      <c r="M21" s="10">
        <f t="shared" si="3"/>
        <v>0.1</v>
      </c>
      <c r="N21" s="10" t="str">
        <f t="shared" si="4"/>
        <v>No P delta</v>
      </c>
    </row>
    <row r="22" spans="2:14" x14ac:dyDescent="0.3">
      <c r="B22" s="15" t="s">
        <v>46</v>
      </c>
      <c r="C22" s="6">
        <v>10</v>
      </c>
      <c r="D22" s="10">
        <f t="shared" si="0"/>
        <v>120</v>
      </c>
      <c r="E22" s="4">
        <v>22956.457999999999</v>
      </c>
      <c r="F22" s="4">
        <v>-1590.0160000000001</v>
      </c>
      <c r="G22" s="4">
        <v>0.31367200000000001</v>
      </c>
      <c r="H22" s="10">
        <f t="shared" si="1"/>
        <v>1.56836</v>
      </c>
      <c r="I22" s="10">
        <f t="shared" si="2"/>
        <v>3.7739652167944629E-2</v>
      </c>
      <c r="J22" s="6">
        <v>5</v>
      </c>
      <c r="K22" s="6">
        <v>1</v>
      </c>
      <c r="L22" s="6">
        <v>1</v>
      </c>
      <c r="M22" s="10">
        <f t="shared" si="3"/>
        <v>0.1</v>
      </c>
      <c r="N22" s="10" t="str">
        <f t="shared" si="4"/>
        <v>No P delta</v>
      </c>
    </row>
    <row r="23" spans="2:14" x14ac:dyDescent="0.3">
      <c r="B23" s="14" t="s">
        <v>47</v>
      </c>
      <c r="C23" s="6">
        <v>8</v>
      </c>
      <c r="D23" s="10">
        <f t="shared" si="0"/>
        <v>96</v>
      </c>
      <c r="E23" s="4">
        <v>23961.224999999999</v>
      </c>
      <c r="F23" s="4">
        <v>-1594.864</v>
      </c>
      <c r="G23" s="7">
        <v>0</v>
      </c>
      <c r="H23" s="10">
        <f t="shared" si="1"/>
        <v>0</v>
      </c>
      <c r="I23" s="10">
        <f t="shared" si="2"/>
        <v>0</v>
      </c>
      <c r="J23" s="6">
        <v>5</v>
      </c>
      <c r="K23" s="6">
        <v>1</v>
      </c>
      <c r="L23" s="6">
        <v>1</v>
      </c>
      <c r="M23" s="10">
        <f t="shared" si="3"/>
        <v>0.1</v>
      </c>
      <c r="N23" s="10" t="str">
        <f t="shared" si="4"/>
        <v>No P delta</v>
      </c>
    </row>
    <row r="24" spans="2:14" ht="20.399999999999999" x14ac:dyDescent="0.3">
      <c r="B24" s="14" t="s">
        <v>48</v>
      </c>
      <c r="C24" s="6">
        <v>0</v>
      </c>
      <c r="D24" s="10">
        <f t="shared" si="0"/>
        <v>0</v>
      </c>
      <c r="E24" s="6">
        <v>0</v>
      </c>
      <c r="F24" s="6">
        <v>0</v>
      </c>
      <c r="G24" s="7">
        <v>0</v>
      </c>
      <c r="H24" s="10">
        <f t="shared" si="1"/>
        <v>0</v>
      </c>
      <c r="I24" s="10">
        <v>0</v>
      </c>
      <c r="J24" s="6">
        <v>5</v>
      </c>
      <c r="K24" s="6">
        <v>1</v>
      </c>
      <c r="L24" s="6">
        <v>1</v>
      </c>
      <c r="M24" s="10">
        <f t="shared" si="3"/>
        <v>0.1</v>
      </c>
      <c r="N24" s="10" t="str">
        <f t="shared" si="4"/>
        <v>No P delta</v>
      </c>
    </row>
    <row r="27" spans="2:14" x14ac:dyDescent="0.3">
      <c r="B27" s="73" t="s">
        <v>109</v>
      </c>
      <c r="C27" s="73"/>
      <c r="D27" s="73"/>
      <c r="E27" s="73"/>
    </row>
    <row r="28" spans="2:14" ht="14.4" customHeight="1" x14ac:dyDescent="0.3">
      <c r="B28" s="59" t="s">
        <v>27</v>
      </c>
      <c r="C28" s="20" t="s">
        <v>96</v>
      </c>
      <c r="D28" s="27" t="s">
        <v>97</v>
      </c>
      <c r="E28" s="69" t="s">
        <v>98</v>
      </c>
      <c r="F28" s="70" t="s">
        <v>107</v>
      </c>
      <c r="G28" s="27" t="s">
        <v>100</v>
      </c>
      <c r="H28" s="23" t="s">
        <v>101</v>
      </c>
      <c r="I28" s="68" t="s">
        <v>102</v>
      </c>
      <c r="J28" s="20" t="s">
        <v>103</v>
      </c>
      <c r="K28" s="27" t="s">
        <v>104</v>
      </c>
      <c r="L28" s="66" t="s">
        <v>106</v>
      </c>
      <c r="M28" s="66" t="s">
        <v>105</v>
      </c>
      <c r="N28" s="23" t="s">
        <v>21</v>
      </c>
    </row>
    <row r="29" spans="2:14" x14ac:dyDescent="0.3">
      <c r="B29" s="59"/>
      <c r="C29" s="20"/>
      <c r="D29" s="27"/>
      <c r="E29" s="69"/>
      <c r="F29" s="71"/>
      <c r="G29" s="27"/>
      <c r="H29" s="23"/>
      <c r="I29" s="23"/>
      <c r="J29" s="20"/>
      <c r="K29" s="27"/>
      <c r="L29" s="67"/>
      <c r="M29" s="67"/>
      <c r="N29" s="23"/>
    </row>
    <row r="30" spans="2:14" x14ac:dyDescent="0.3">
      <c r="B30" s="59"/>
      <c r="C30" s="20"/>
      <c r="D30" s="27"/>
      <c r="E30" s="69"/>
      <c r="F30" s="72"/>
      <c r="G30" s="27"/>
      <c r="H30" s="23"/>
      <c r="I30" s="23"/>
      <c r="J30" s="20"/>
      <c r="K30" s="27"/>
      <c r="L30" s="67"/>
      <c r="M30" s="67"/>
      <c r="N30" s="23"/>
    </row>
    <row r="31" spans="2:14" ht="20.399999999999999" customHeight="1" x14ac:dyDescent="0.3">
      <c r="B31" s="14" t="s">
        <v>36</v>
      </c>
      <c r="C31" s="6">
        <v>10</v>
      </c>
      <c r="D31" s="10">
        <f>C31*12</f>
        <v>120</v>
      </c>
      <c r="E31" s="4">
        <v>184.607</v>
      </c>
      <c r="F31" s="4">
        <v>-26.515000000000001</v>
      </c>
      <c r="G31" s="4">
        <v>3.3811200000000001</v>
      </c>
      <c r="H31" s="10">
        <f>ABS(G31-G32)*J31/K31</f>
        <v>1.146545000000001</v>
      </c>
      <c r="I31" s="10">
        <f>ABS((E31*H31)/(F31*D31*J31))</f>
        <v>1.3304433516562963E-2</v>
      </c>
      <c r="J31" s="6">
        <v>5</v>
      </c>
      <c r="K31" s="6">
        <v>1</v>
      </c>
      <c r="L31" s="6">
        <v>1</v>
      </c>
      <c r="M31" s="10">
        <f>0.5/(K31*J31)</f>
        <v>0.1</v>
      </c>
      <c r="N31" s="10" t="str">
        <f>IF(I31&lt;0.1,"No P delta","P delta")</f>
        <v>No P delta</v>
      </c>
    </row>
    <row r="32" spans="2:14" ht="14.4" customHeight="1" x14ac:dyDescent="0.3">
      <c r="B32" s="15" t="s">
        <v>37</v>
      </c>
      <c r="C32" s="6">
        <v>10</v>
      </c>
      <c r="D32" s="10">
        <f t="shared" ref="D32:D43" si="5">C32*12</f>
        <v>120</v>
      </c>
      <c r="E32" s="4">
        <v>1801.4159999999999</v>
      </c>
      <c r="F32" s="4">
        <v>-268.12799999999999</v>
      </c>
      <c r="G32" s="4">
        <v>3.1518109999999999</v>
      </c>
      <c r="H32" s="10">
        <f t="shared" ref="H32:H43" si="6">ABS(G32-G33)*J32/K32</f>
        <v>1.1619000000000002</v>
      </c>
      <c r="I32" s="10">
        <f t="shared" ref="I32:I42" si="7">ABS((E32*H32)/(F32*D32*J32))</f>
        <v>1.3010361036519875E-2</v>
      </c>
      <c r="J32" s="6">
        <v>5</v>
      </c>
      <c r="K32" s="6">
        <v>1</v>
      </c>
      <c r="L32" s="6">
        <v>1</v>
      </c>
      <c r="M32" s="10">
        <f t="shared" ref="M32:M43" si="8">0.5/(K32*J32)</f>
        <v>0.1</v>
      </c>
      <c r="N32" s="10" t="str">
        <f t="shared" ref="N32:N43" si="9">IF(I32&lt;0.1,"No P delta","P delta")</f>
        <v>No P delta</v>
      </c>
    </row>
    <row r="33" spans="2:14" ht="14.4" customHeight="1" x14ac:dyDescent="0.3">
      <c r="B33" s="15" t="s">
        <v>38</v>
      </c>
      <c r="C33" s="6">
        <v>10</v>
      </c>
      <c r="D33" s="10">
        <f t="shared" si="5"/>
        <v>120</v>
      </c>
      <c r="E33" s="4">
        <v>4151.701</v>
      </c>
      <c r="F33" s="4">
        <v>-550.94500000000005</v>
      </c>
      <c r="G33" s="4">
        <v>2.9194309999999999</v>
      </c>
      <c r="H33" s="10">
        <f t="shared" si="6"/>
        <v>1.3343599999999989</v>
      </c>
      <c r="I33" s="10">
        <f t="shared" si="7"/>
        <v>1.6758671453472349E-2</v>
      </c>
      <c r="J33" s="6">
        <v>5</v>
      </c>
      <c r="K33" s="6">
        <v>1</v>
      </c>
      <c r="L33" s="6">
        <v>1</v>
      </c>
      <c r="M33" s="10">
        <f t="shared" si="8"/>
        <v>0.1</v>
      </c>
      <c r="N33" s="10" t="str">
        <f t="shared" si="9"/>
        <v>No P delta</v>
      </c>
    </row>
    <row r="34" spans="2:14" x14ac:dyDescent="0.3">
      <c r="B34" s="15" t="s">
        <v>39</v>
      </c>
      <c r="C34" s="6">
        <v>10</v>
      </c>
      <c r="D34" s="10">
        <f t="shared" si="5"/>
        <v>120</v>
      </c>
      <c r="E34" s="4">
        <v>6501.9849999999997</v>
      </c>
      <c r="F34" s="4">
        <v>-795.90899999999999</v>
      </c>
      <c r="G34" s="4">
        <v>2.6525590000000001</v>
      </c>
      <c r="H34" s="10">
        <f t="shared" si="6"/>
        <v>1.4879600000000015</v>
      </c>
      <c r="I34" s="10">
        <f t="shared" si="7"/>
        <v>2.0259212214377958E-2</v>
      </c>
      <c r="J34" s="6">
        <v>5</v>
      </c>
      <c r="K34" s="6">
        <v>1</v>
      </c>
      <c r="L34" s="6">
        <v>1</v>
      </c>
      <c r="M34" s="10">
        <f t="shared" si="8"/>
        <v>0.1</v>
      </c>
      <c r="N34" s="10" t="str">
        <f t="shared" si="9"/>
        <v>No P delta</v>
      </c>
    </row>
    <row r="35" spans="2:14" x14ac:dyDescent="0.3">
      <c r="B35" s="15" t="s">
        <v>40</v>
      </c>
      <c r="C35" s="6">
        <v>10</v>
      </c>
      <c r="D35" s="10">
        <f t="shared" si="5"/>
        <v>120</v>
      </c>
      <c r="E35" s="4">
        <v>8852.27</v>
      </c>
      <c r="F35" s="4">
        <v>-1004.436</v>
      </c>
      <c r="G35" s="4">
        <v>2.3549669999999998</v>
      </c>
      <c r="H35" s="10">
        <f t="shared" si="6"/>
        <v>1.6168999999999989</v>
      </c>
      <c r="I35" s="10">
        <f t="shared" si="7"/>
        <v>2.3750037107059731E-2</v>
      </c>
      <c r="J35" s="6">
        <v>5</v>
      </c>
      <c r="K35" s="6">
        <v>1</v>
      </c>
      <c r="L35" s="6">
        <v>1</v>
      </c>
      <c r="M35" s="10">
        <f t="shared" si="8"/>
        <v>0.1</v>
      </c>
      <c r="N35" s="10" t="str">
        <f t="shared" si="9"/>
        <v>No P delta</v>
      </c>
    </row>
    <row r="36" spans="2:14" x14ac:dyDescent="0.3">
      <c r="B36" s="15" t="s">
        <v>41</v>
      </c>
      <c r="C36" s="6">
        <v>10</v>
      </c>
      <c r="D36" s="10">
        <f t="shared" si="5"/>
        <v>120</v>
      </c>
      <c r="E36" s="4">
        <v>11202.555</v>
      </c>
      <c r="F36" s="4">
        <v>-1178.0619999999999</v>
      </c>
      <c r="G36" s="4">
        <v>2.031587</v>
      </c>
      <c r="H36" s="10">
        <f t="shared" si="6"/>
        <v>1.7159100000000005</v>
      </c>
      <c r="I36" s="10">
        <f t="shared" si="7"/>
        <v>2.7195195937692592E-2</v>
      </c>
      <c r="J36" s="6">
        <v>5</v>
      </c>
      <c r="K36" s="6">
        <v>1</v>
      </c>
      <c r="L36" s="6">
        <v>1</v>
      </c>
      <c r="M36" s="10">
        <f t="shared" si="8"/>
        <v>0.1</v>
      </c>
      <c r="N36" s="10" t="str">
        <f t="shared" si="9"/>
        <v>No P delta</v>
      </c>
    </row>
    <row r="37" spans="2:14" x14ac:dyDescent="0.3">
      <c r="B37" s="15" t="s">
        <v>42</v>
      </c>
      <c r="C37" s="6">
        <v>10</v>
      </c>
      <c r="D37" s="10">
        <f t="shared" si="5"/>
        <v>120</v>
      </c>
      <c r="E37" s="4">
        <v>13552.839</v>
      </c>
      <c r="F37" s="4">
        <v>-1318.471</v>
      </c>
      <c r="G37" s="4">
        <v>1.6884049999999999</v>
      </c>
      <c r="H37" s="10">
        <f t="shared" si="6"/>
        <v>1.7697099999999999</v>
      </c>
      <c r="I37" s="10">
        <f t="shared" si="7"/>
        <v>3.0318698334017204E-2</v>
      </c>
      <c r="J37" s="6">
        <v>5</v>
      </c>
      <c r="K37" s="6">
        <v>1</v>
      </c>
      <c r="L37" s="6">
        <v>1</v>
      </c>
      <c r="M37" s="10">
        <f t="shared" si="8"/>
        <v>0.1</v>
      </c>
      <c r="N37" s="10" t="str">
        <f t="shared" si="9"/>
        <v>No P delta</v>
      </c>
    </row>
    <row r="38" spans="2:14" x14ac:dyDescent="0.3">
      <c r="B38" s="15" t="s">
        <v>43</v>
      </c>
      <c r="C38" s="6">
        <v>10</v>
      </c>
      <c r="D38" s="10">
        <f t="shared" si="5"/>
        <v>120</v>
      </c>
      <c r="E38" s="4">
        <v>15903.124</v>
      </c>
      <c r="F38" s="4">
        <v>-1427.5329999999999</v>
      </c>
      <c r="G38" s="4">
        <v>1.334463</v>
      </c>
      <c r="H38" s="10">
        <f t="shared" si="6"/>
        <v>1.7626549999999996</v>
      </c>
      <c r="I38" s="10">
        <f t="shared" si="7"/>
        <v>3.2727464133602044E-2</v>
      </c>
      <c r="J38" s="6">
        <v>5</v>
      </c>
      <c r="K38" s="6">
        <v>1</v>
      </c>
      <c r="L38" s="6">
        <v>1</v>
      </c>
      <c r="M38" s="10">
        <f t="shared" si="8"/>
        <v>0.1</v>
      </c>
      <c r="N38" s="10" t="str">
        <f t="shared" si="9"/>
        <v>No P delta</v>
      </c>
    </row>
    <row r="39" spans="2:14" x14ac:dyDescent="0.3">
      <c r="B39" s="15" t="s">
        <v>44</v>
      </c>
      <c r="C39" s="6">
        <v>10</v>
      </c>
      <c r="D39" s="10">
        <f t="shared" si="5"/>
        <v>120</v>
      </c>
      <c r="E39" s="4">
        <v>18253.407999999999</v>
      </c>
      <c r="F39" s="4">
        <v>-1507.374</v>
      </c>
      <c r="G39" s="4">
        <v>0.98193200000000003</v>
      </c>
      <c r="H39" s="10">
        <f t="shared" si="6"/>
        <v>1.6798550000000001</v>
      </c>
      <c r="I39" s="10">
        <f t="shared" si="7"/>
        <v>3.3903418235775154E-2</v>
      </c>
      <c r="J39" s="6">
        <v>5</v>
      </c>
      <c r="K39" s="6">
        <v>1</v>
      </c>
      <c r="L39" s="6">
        <v>1</v>
      </c>
      <c r="M39" s="10">
        <f t="shared" si="8"/>
        <v>0.1</v>
      </c>
      <c r="N39" s="10" t="str">
        <f t="shared" si="9"/>
        <v>No P delta</v>
      </c>
    </row>
    <row r="40" spans="2:14" x14ac:dyDescent="0.3">
      <c r="B40" s="15" t="s">
        <v>45</v>
      </c>
      <c r="C40" s="6">
        <v>10</v>
      </c>
      <c r="D40" s="10">
        <f t="shared" si="5"/>
        <v>120</v>
      </c>
      <c r="E40" s="4">
        <v>20603.692999999999</v>
      </c>
      <c r="F40" s="4">
        <v>-1560.4839999999999</v>
      </c>
      <c r="G40" s="4">
        <v>0.64596100000000001</v>
      </c>
      <c r="H40" s="10">
        <f t="shared" si="6"/>
        <v>1.50501</v>
      </c>
      <c r="I40" s="10">
        <f t="shared" si="7"/>
        <v>3.3118746066316603E-2</v>
      </c>
      <c r="J40" s="6">
        <v>5</v>
      </c>
      <c r="K40" s="6">
        <v>1</v>
      </c>
      <c r="L40" s="6">
        <v>1</v>
      </c>
      <c r="M40" s="10">
        <f t="shared" si="8"/>
        <v>0.1</v>
      </c>
      <c r="N40" s="10" t="str">
        <f t="shared" si="9"/>
        <v>No P delta</v>
      </c>
    </row>
    <row r="41" spans="2:14" x14ac:dyDescent="0.3">
      <c r="B41" s="15" t="s">
        <v>46</v>
      </c>
      <c r="C41" s="6">
        <v>10</v>
      </c>
      <c r="D41" s="10">
        <f t="shared" si="5"/>
        <v>120</v>
      </c>
      <c r="E41" s="4">
        <v>22956.457999999999</v>
      </c>
      <c r="F41" s="4">
        <v>-1590.0160000000001</v>
      </c>
      <c r="G41" s="4">
        <v>0.34495900000000002</v>
      </c>
      <c r="H41" s="10">
        <f t="shared" si="6"/>
        <v>1.7247950000000001</v>
      </c>
      <c r="I41" s="10">
        <f t="shared" si="7"/>
        <v>4.1503968069199718E-2</v>
      </c>
      <c r="J41" s="6">
        <v>5</v>
      </c>
      <c r="K41" s="6">
        <v>1</v>
      </c>
      <c r="L41" s="6">
        <v>1</v>
      </c>
      <c r="M41" s="10">
        <f t="shared" si="8"/>
        <v>0.1</v>
      </c>
      <c r="N41" s="10" t="str">
        <f t="shared" si="9"/>
        <v>No P delta</v>
      </c>
    </row>
    <row r="42" spans="2:14" x14ac:dyDescent="0.3">
      <c r="B42" s="14" t="s">
        <v>47</v>
      </c>
      <c r="C42" s="6">
        <v>8</v>
      </c>
      <c r="D42" s="10">
        <f t="shared" si="5"/>
        <v>96</v>
      </c>
      <c r="E42" s="4">
        <v>23961.224999999999</v>
      </c>
      <c r="F42" s="4">
        <v>-1594.864</v>
      </c>
      <c r="G42" s="6">
        <v>0</v>
      </c>
      <c r="H42" s="10">
        <f t="shared" si="6"/>
        <v>0</v>
      </c>
      <c r="I42" s="10">
        <f t="shared" si="7"/>
        <v>0</v>
      </c>
      <c r="J42" s="6">
        <v>5</v>
      </c>
      <c r="K42" s="6">
        <v>1</v>
      </c>
      <c r="L42" s="6">
        <v>1</v>
      </c>
      <c r="M42" s="10">
        <f t="shared" si="8"/>
        <v>0.1</v>
      </c>
      <c r="N42" s="10" t="str">
        <f t="shared" si="9"/>
        <v>No P delta</v>
      </c>
    </row>
    <row r="43" spans="2:14" ht="20.399999999999999" x14ac:dyDescent="0.3">
      <c r="B43" s="14" t="s">
        <v>48</v>
      </c>
      <c r="C43" s="6">
        <v>0</v>
      </c>
      <c r="D43" s="10">
        <f t="shared" si="5"/>
        <v>0</v>
      </c>
      <c r="E43" s="6">
        <v>0</v>
      </c>
      <c r="F43" s="6">
        <v>0</v>
      </c>
      <c r="G43" s="6">
        <v>0</v>
      </c>
      <c r="H43" s="10">
        <f t="shared" si="6"/>
        <v>0</v>
      </c>
      <c r="I43" s="10">
        <v>0</v>
      </c>
      <c r="J43" s="6">
        <v>5</v>
      </c>
      <c r="K43" s="6">
        <v>1</v>
      </c>
      <c r="L43" s="6">
        <v>1</v>
      </c>
      <c r="M43" s="10">
        <f t="shared" si="8"/>
        <v>0.1</v>
      </c>
      <c r="N43" s="10" t="str">
        <f t="shared" si="9"/>
        <v>No P delta</v>
      </c>
    </row>
  </sheetData>
  <mergeCells count="29">
    <mergeCell ref="C28:C30"/>
    <mergeCell ref="D28:D30"/>
    <mergeCell ref="E28:E30"/>
    <mergeCell ref="F28:F30"/>
    <mergeCell ref="B3:I5"/>
    <mergeCell ref="B9:B11"/>
    <mergeCell ref="C9:C11"/>
    <mergeCell ref="D9:D11"/>
    <mergeCell ref="E9:E11"/>
    <mergeCell ref="F9:F11"/>
    <mergeCell ref="G9:G11"/>
    <mergeCell ref="H9:H11"/>
    <mergeCell ref="I9:I11"/>
    <mergeCell ref="B8:E8"/>
    <mergeCell ref="B27:E27"/>
    <mergeCell ref="B28:B30"/>
    <mergeCell ref="M28:M30"/>
    <mergeCell ref="N28:N30"/>
    <mergeCell ref="G28:G30"/>
    <mergeCell ref="H28:H30"/>
    <mergeCell ref="I28:I30"/>
    <mergeCell ref="J28:J30"/>
    <mergeCell ref="K28:K30"/>
    <mergeCell ref="L28:L30"/>
    <mergeCell ref="J9:J11"/>
    <mergeCell ref="K9:K11"/>
    <mergeCell ref="L9:L11"/>
    <mergeCell ref="M9:M11"/>
    <mergeCell ref="N9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Classification</vt:lpstr>
      <vt:lpstr>Story Displacement Check</vt:lpstr>
      <vt:lpstr>Drift Check</vt:lpstr>
      <vt:lpstr>Drift Ratio Check</vt:lpstr>
      <vt:lpstr>Stiffness Irregularity Check</vt:lpstr>
      <vt:lpstr>Torsional Irregularity Check</vt:lpstr>
      <vt:lpstr>P Delta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2024-09-03T12:05:47Z</dcterms:created>
  <dcterms:modified xsi:type="dcterms:W3CDTF">2026-03-15T13:11:02Z</dcterms:modified>
</cp:coreProperties>
</file>